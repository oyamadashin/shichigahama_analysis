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misc\"/>
    </mc:Choice>
  </mc:AlternateContent>
  <xr:revisionPtr revIDLastSave="0" documentId="13_ncr:1_{C91849AE-80F4-4D48-B2D9-B31BDCFC13D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すべてのnameとidリスト" sheetId="2" r:id="rId1"/>
    <sheet name="idつけ作業用" sheetId="1" r:id="rId2"/>
  </sheets>
  <definedNames>
    <definedName name="_xlnm._FilterDatabase" localSheetId="1" hidden="1">idつけ作業用!$E$1:$H$177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" i="2"/>
  <c r="F47" i="1"/>
  <c r="F48" i="1"/>
  <c r="F127" i="1"/>
  <c r="F129" i="1"/>
  <c r="F94" i="1"/>
  <c r="F95" i="1"/>
  <c r="F2" i="1"/>
  <c r="F144" i="1"/>
  <c r="F9" i="1"/>
  <c r="F74" i="1"/>
  <c r="F76" i="1"/>
  <c r="F77" i="1"/>
  <c r="F96" i="1"/>
  <c r="F97" i="1"/>
  <c r="F98" i="1"/>
  <c r="F10" i="1"/>
  <c r="F11" i="1"/>
  <c r="F13" i="1"/>
  <c r="F78" i="1"/>
  <c r="F14" i="1"/>
  <c r="F99" i="1"/>
  <c r="F100" i="1"/>
  <c r="F15" i="1"/>
  <c r="F49" i="1"/>
  <c r="F130" i="1"/>
  <c r="F50" i="1"/>
  <c r="F16" i="1"/>
  <c r="F131" i="1"/>
  <c r="F132" i="1"/>
  <c r="F133" i="1"/>
  <c r="F134" i="1"/>
  <c r="F136" i="1"/>
  <c r="F159" i="1"/>
  <c r="F160" i="1"/>
  <c r="F161" i="1"/>
  <c r="F162" i="1"/>
  <c r="F163" i="1"/>
  <c r="F164" i="1"/>
  <c r="F145" i="1"/>
  <c r="F165" i="1"/>
  <c r="F146" i="1"/>
  <c r="F137" i="1"/>
  <c r="F138" i="1"/>
  <c r="F166" i="1"/>
  <c r="F147" i="1"/>
  <c r="F110" i="1"/>
  <c r="F139" i="1"/>
  <c r="F79" i="1"/>
  <c r="F52" i="1"/>
  <c r="F101" i="1"/>
  <c r="F3" i="1"/>
  <c r="F102" i="1"/>
  <c r="F80" i="1"/>
  <c r="F18" i="1"/>
  <c r="F103" i="1"/>
  <c r="F104" i="1"/>
  <c r="F19" i="1"/>
  <c r="F20" i="1"/>
  <c r="F53" i="1"/>
  <c r="F21" i="1"/>
  <c r="F22" i="1"/>
  <c r="F112" i="1"/>
  <c r="F81" i="1"/>
  <c r="F23" i="1"/>
  <c r="F82" i="1"/>
  <c r="F83" i="1"/>
  <c r="F84" i="1"/>
  <c r="F24" i="1"/>
  <c r="F107" i="1"/>
  <c r="F108" i="1"/>
  <c r="F109" i="1"/>
  <c r="F111" i="1"/>
  <c r="F25" i="1"/>
  <c r="F26" i="1"/>
  <c r="F4" i="1"/>
  <c r="F27" i="1"/>
  <c r="F85" i="1"/>
  <c r="F17" i="1"/>
  <c r="F148" i="1"/>
  <c r="F149" i="1"/>
  <c r="F167" i="1"/>
  <c r="F28" i="1"/>
  <c r="F54" i="1"/>
  <c r="F86" i="1"/>
  <c r="F140" i="1"/>
  <c r="F113" i="1"/>
  <c r="F114" i="1"/>
  <c r="F115" i="1"/>
  <c r="F6" i="1"/>
  <c r="F55" i="1"/>
  <c r="F29" i="1"/>
  <c r="F150" i="1"/>
  <c r="F5" i="1"/>
  <c r="F56" i="1"/>
  <c r="F151" i="1"/>
  <c r="F30" i="1"/>
  <c r="F31" i="1"/>
  <c r="F152" i="1"/>
  <c r="F32" i="1"/>
  <c r="F33" i="1"/>
  <c r="F34" i="1"/>
  <c r="F35" i="1"/>
  <c r="F58" i="1"/>
  <c r="F43" i="1"/>
  <c r="F38" i="1"/>
  <c r="F87" i="1"/>
  <c r="F39" i="1"/>
  <c r="F88" i="1"/>
  <c r="F89" i="1"/>
  <c r="F59" i="1"/>
  <c r="F60" i="1"/>
  <c r="F41" i="1"/>
  <c r="F141" i="1"/>
  <c r="F142" i="1"/>
  <c r="F153" i="1"/>
  <c r="F154" i="1"/>
  <c r="F155" i="1"/>
  <c r="F156" i="1"/>
  <c r="F157" i="1"/>
  <c r="F158" i="1"/>
  <c r="F42" i="1"/>
  <c r="F61" i="1"/>
  <c r="F62" i="1"/>
  <c r="F63" i="1"/>
  <c r="F64" i="1"/>
  <c r="F65" i="1"/>
  <c r="F66" i="1"/>
  <c r="F116" i="1"/>
  <c r="F68" i="1"/>
  <c r="F69" i="1"/>
  <c r="F70" i="1"/>
  <c r="F7" i="1"/>
  <c r="F71" i="1"/>
  <c r="F75" i="1"/>
  <c r="F57" i="1"/>
  <c r="F105" i="1"/>
  <c r="F106" i="1"/>
  <c r="F40" i="1"/>
  <c r="F128" i="1"/>
  <c r="F93" i="1"/>
  <c r="F67" i="1"/>
  <c r="F124" i="1"/>
  <c r="F51" i="1"/>
  <c r="F36" i="1"/>
  <c r="F90" i="1"/>
  <c r="F135" i="1"/>
  <c r="F37" i="1"/>
  <c r="F12" i="1"/>
  <c r="F73" i="1"/>
  <c r="F143" i="1"/>
  <c r="F117" i="1"/>
  <c r="F118" i="1"/>
  <c r="F119" i="1"/>
  <c r="F120" i="1"/>
  <c r="F121" i="1"/>
  <c r="F91" i="1"/>
  <c r="F122" i="1"/>
  <c r="F123" i="1"/>
  <c r="F125" i="1"/>
  <c r="F126" i="1"/>
  <c r="F92" i="1"/>
  <c r="F44" i="1"/>
  <c r="F45" i="1"/>
  <c r="F46" i="1"/>
  <c r="F8" i="1"/>
  <c r="F72" i="1"/>
</calcChain>
</file>

<file path=xl/sharedStrings.xml><?xml version="1.0" encoding="utf-8"?>
<sst xmlns="http://schemas.openxmlformats.org/spreadsheetml/2006/main" count="2490" uniqueCount="947">
  <si>
    <t>name</t>
    <phoneticPr fontId="5"/>
  </si>
  <si>
    <t>岩本松治</t>
  </si>
  <si>
    <t>鈴木清弘</t>
  </si>
  <si>
    <t>鈴木益幸</t>
  </si>
  <si>
    <t>星嘉悦</t>
  </si>
  <si>
    <t>星新藏</t>
  </si>
  <si>
    <t>渡辺ふじ江</t>
  </si>
  <si>
    <t>和泉とも子</t>
  </si>
  <si>
    <t>梅津榮一</t>
  </si>
  <si>
    <t>加藤勝美</t>
  </si>
  <si>
    <t>加藤純一</t>
  </si>
  <si>
    <t>加藤信勝</t>
  </si>
  <si>
    <t>加藤壽治</t>
  </si>
  <si>
    <t>紀野國正勝</t>
  </si>
  <si>
    <t>後藤忠男</t>
  </si>
  <si>
    <t>櫻井富士男</t>
  </si>
  <si>
    <t>佐藤新太郎</t>
  </si>
  <si>
    <t>鈴木吉雄</t>
  </si>
  <si>
    <t>鈴木幸一</t>
  </si>
  <si>
    <t>鈴木七雄</t>
  </si>
  <si>
    <t>鈴木庄衛</t>
  </si>
  <si>
    <t>鈴木しん</t>
  </si>
  <si>
    <t>鈴木信也</t>
  </si>
  <si>
    <t>鈴木つい子</t>
  </si>
  <si>
    <t>鈴木藤助</t>
  </si>
  <si>
    <t>鈴木久</t>
  </si>
  <si>
    <t>鈴木平規</t>
  </si>
  <si>
    <t>鈴木正人</t>
  </si>
  <si>
    <t>鈴木豊</t>
  </si>
  <si>
    <t>太宰勉</t>
  </si>
  <si>
    <t>太宰良子</t>
  </si>
  <si>
    <t>星昭男</t>
  </si>
  <si>
    <t>星榮一</t>
  </si>
  <si>
    <t>星清勝</t>
  </si>
  <si>
    <t>星成</t>
  </si>
  <si>
    <t>星辰男</t>
  </si>
  <si>
    <t>星博</t>
  </si>
  <si>
    <t>星兵喜</t>
  </si>
  <si>
    <t>星又一</t>
  </si>
  <si>
    <t>星三千男</t>
  </si>
  <si>
    <t>松野兵次郎</t>
  </si>
  <si>
    <t>三浦和子</t>
  </si>
  <si>
    <t>三浦かつの</t>
  </si>
  <si>
    <t>三浦静江</t>
  </si>
  <si>
    <t>三浦たつよ</t>
  </si>
  <si>
    <t>三浦康市</t>
  </si>
  <si>
    <t>吉田茂</t>
  </si>
  <si>
    <t>吉田時男</t>
  </si>
  <si>
    <t>渡辺幸一</t>
  </si>
  <si>
    <t>松野明</t>
  </si>
  <si>
    <t>阿部幸八</t>
  </si>
  <si>
    <t>阿部三義</t>
  </si>
  <si>
    <t>和泉正榮</t>
  </si>
  <si>
    <t>伊丹克己</t>
  </si>
  <si>
    <t>伊丹勝義</t>
  </si>
  <si>
    <t>斉藤勝良</t>
  </si>
  <si>
    <t>齋藤清市</t>
  </si>
  <si>
    <t>齋藤久</t>
  </si>
  <si>
    <t>齋藤八重子</t>
  </si>
  <si>
    <t>宍戸洋子</t>
  </si>
  <si>
    <t>鈴木勝夫</t>
  </si>
  <si>
    <t>鈴木喜三郎</t>
  </si>
  <si>
    <t>鈴木正吉</t>
  </si>
  <si>
    <t>丹野定二</t>
  </si>
  <si>
    <t>丹野正道</t>
  </si>
  <si>
    <t>千葉正幸</t>
  </si>
  <si>
    <t>星あい</t>
  </si>
  <si>
    <t>星幸吉</t>
  </si>
  <si>
    <t>星新平</t>
  </si>
  <si>
    <t>星孝</t>
  </si>
  <si>
    <t>星正　</t>
  </si>
  <si>
    <t>星章夫</t>
  </si>
  <si>
    <t>星光浩</t>
  </si>
  <si>
    <t>星光良</t>
  </si>
  <si>
    <t>最上明</t>
  </si>
  <si>
    <t>最上實</t>
  </si>
  <si>
    <t>渡辺章</t>
  </si>
  <si>
    <t>渡辺卯之松</t>
  </si>
  <si>
    <t>渡辺栄一</t>
  </si>
  <si>
    <t>渡辺一好</t>
  </si>
  <si>
    <t>渡邉勝喜</t>
  </si>
  <si>
    <t>渡辺勝巳</t>
  </si>
  <si>
    <t>渡辺喜一</t>
  </si>
  <si>
    <t>渡辺絹子</t>
  </si>
  <si>
    <t>渡辺きわ子</t>
  </si>
  <si>
    <t>渡辺けさ</t>
  </si>
  <si>
    <t>渡辺源左ェ門</t>
  </si>
  <si>
    <t>渡辺憲次郎</t>
  </si>
  <si>
    <t>渡辺繁雄</t>
  </si>
  <si>
    <t>渡辺庄松</t>
  </si>
  <si>
    <t>渡辺庄哉</t>
  </si>
  <si>
    <t>渡辺太郎</t>
  </si>
  <si>
    <t>渡辺司</t>
  </si>
  <si>
    <t>渡辺傳明</t>
  </si>
  <si>
    <t>渡辺留四郎</t>
  </si>
  <si>
    <t>渡辺信雄</t>
  </si>
  <si>
    <t>渡辺寛</t>
  </si>
  <si>
    <t>渡辺弘</t>
  </si>
  <si>
    <t>渡邉與藏</t>
  </si>
  <si>
    <t>渡辺米雄</t>
  </si>
  <si>
    <t>相澤巖</t>
  </si>
  <si>
    <t>相澤今朝夫</t>
  </si>
  <si>
    <t>相澤賢一</t>
  </si>
  <si>
    <t>相沢久芳</t>
  </si>
  <si>
    <t>相澤雄一</t>
  </si>
  <si>
    <t>阿部市右ェ門</t>
  </si>
  <si>
    <t>伊藤兵四郎</t>
  </si>
  <si>
    <t>遠藤馨一</t>
  </si>
  <si>
    <t>遠藤今朝松</t>
  </si>
  <si>
    <t>遠藤節子</t>
  </si>
  <si>
    <t>遠藤善兵衛</t>
  </si>
  <si>
    <t>遠藤妙子</t>
  </si>
  <si>
    <t>遠藤隆夫</t>
  </si>
  <si>
    <t>遠藤ナヨ子</t>
  </si>
  <si>
    <t>遠藤みつ</t>
  </si>
  <si>
    <t>遠藤やえ子</t>
  </si>
  <si>
    <t>鎌田多恵子</t>
  </si>
  <si>
    <t>鈴木いみ子</t>
  </si>
  <si>
    <t>鈴木けさよ</t>
  </si>
  <si>
    <t>鈴木太一</t>
  </si>
  <si>
    <t>鈴木亨</t>
  </si>
  <si>
    <t>鈴木とくえ</t>
  </si>
  <si>
    <t>鈴木利雄</t>
  </si>
  <si>
    <t>鈴木吉秋</t>
  </si>
  <si>
    <t>寺澤克治</t>
  </si>
  <si>
    <t>寺澤善二</t>
  </si>
  <si>
    <t>三浦門吉</t>
  </si>
  <si>
    <t>三嶋重昭</t>
  </si>
  <si>
    <t>三島知恵子</t>
  </si>
  <si>
    <t>渡辺俊道</t>
  </si>
  <si>
    <t>赤間英亀</t>
  </si>
  <si>
    <t>赤間東治</t>
  </si>
  <si>
    <t>赤間博樹</t>
  </si>
  <si>
    <t>赤間善勝</t>
  </si>
  <si>
    <t>稲妻克夫</t>
  </si>
  <si>
    <t>稲妻富子</t>
  </si>
  <si>
    <t>稲妻良和</t>
  </si>
  <si>
    <t>小野和子</t>
  </si>
  <si>
    <t>小野今朝治</t>
  </si>
  <si>
    <t>小野善右衞門</t>
  </si>
  <si>
    <t>小玉勝春</t>
  </si>
  <si>
    <t>小玉智惠</t>
  </si>
  <si>
    <t>小玉祐樹</t>
  </si>
  <si>
    <t>鈴木君夫</t>
  </si>
  <si>
    <t>鈴木今朝治</t>
  </si>
  <si>
    <t>鈴木幸子</t>
  </si>
  <si>
    <t>鈴木智</t>
  </si>
  <si>
    <t>鈴木竹浩</t>
  </si>
  <si>
    <t>鈴木長司</t>
  </si>
  <si>
    <t>鈴木藤次郎</t>
  </si>
  <si>
    <t>鈴木富子</t>
  </si>
  <si>
    <t>鈴木英明</t>
  </si>
  <si>
    <t>鈴木平捷</t>
  </si>
  <si>
    <t>鈴木ふかよ</t>
  </si>
  <si>
    <t>鈴木兵助</t>
  </si>
  <si>
    <t>鈴木実（平悦）</t>
    <rPh sb="4" eb="5">
      <t>ヘイ</t>
    </rPh>
    <rPh sb="5" eb="6">
      <t>エツ</t>
    </rPh>
    <phoneticPr fontId="3"/>
  </si>
  <si>
    <t>鈴木善治</t>
  </si>
  <si>
    <t>仁田勇</t>
  </si>
  <si>
    <t>仁田和廣</t>
  </si>
  <si>
    <t>仁田勝昭</t>
  </si>
  <si>
    <t>渡辺丹治</t>
  </si>
  <si>
    <t>渡辺浩</t>
  </si>
  <si>
    <t>相澤憲彦</t>
  </si>
  <si>
    <t>相澤文子</t>
  </si>
  <si>
    <t>相沢幸喜</t>
  </si>
  <si>
    <t>相澤義郎</t>
  </si>
  <si>
    <t>赤間秋夫</t>
  </si>
  <si>
    <t>赤間陽</t>
  </si>
  <si>
    <t>赤間胞治</t>
  </si>
  <si>
    <t>赤間榮藏</t>
  </si>
  <si>
    <t>赤間三五郎</t>
  </si>
  <si>
    <t>赤間長和</t>
  </si>
  <si>
    <t>赤間竹喜</t>
  </si>
  <si>
    <t>赤間長正</t>
  </si>
  <si>
    <t>赤間日出男</t>
  </si>
  <si>
    <t>伊藤カヅ子</t>
  </si>
  <si>
    <t>伊藤定榮</t>
  </si>
  <si>
    <t>伊藤新一</t>
  </si>
  <si>
    <t>齋藤喜二郎</t>
  </si>
  <si>
    <t>齋藤庄英</t>
  </si>
  <si>
    <t>齋藤吉勝</t>
  </si>
  <si>
    <t>佐藤勲</t>
  </si>
  <si>
    <t>佐藤一郎</t>
  </si>
  <si>
    <t>佐藤榮二</t>
  </si>
  <si>
    <t>佐藤喜一</t>
  </si>
  <si>
    <t>佐藤欣一</t>
  </si>
  <si>
    <t>佐藤今朝衞</t>
  </si>
  <si>
    <t>佐藤幸志</t>
  </si>
  <si>
    <t>佐藤つるよ</t>
  </si>
  <si>
    <t>佐藤泰夫</t>
  </si>
  <si>
    <t>佐藤吉雄</t>
  </si>
  <si>
    <t>鈴木厚</t>
  </si>
  <si>
    <t>中島彦一</t>
  </si>
  <si>
    <t>米茂夫</t>
  </si>
  <si>
    <t>米善蔵</t>
  </si>
  <si>
    <t>相澤長一</t>
  </si>
  <si>
    <t>内海榮一</t>
  </si>
  <si>
    <t>佐藤兵蔵</t>
  </si>
  <si>
    <t>佐藤正夫　</t>
  </si>
  <si>
    <t>柴利昭</t>
  </si>
  <si>
    <t>鈴木すん子</t>
  </si>
  <si>
    <t>瀨戸克衞</t>
  </si>
  <si>
    <t>瀬戸長一</t>
  </si>
  <si>
    <t>瀬戸秀壽</t>
  </si>
  <si>
    <t>星江い子</t>
  </si>
  <si>
    <t>星治右衛門</t>
  </si>
  <si>
    <t>星長一</t>
  </si>
  <si>
    <t>星好男</t>
  </si>
  <si>
    <t>我妻喜久夫</t>
  </si>
  <si>
    <t>我妻周悦</t>
  </si>
  <si>
    <t>我妻庄一</t>
  </si>
  <si>
    <t>我妻稔雄</t>
  </si>
  <si>
    <t>我妻登良雄</t>
  </si>
  <si>
    <t>我妻秀夫</t>
  </si>
  <si>
    <t>我妻幸生</t>
  </si>
  <si>
    <t>我妻幸貞</t>
  </si>
  <si>
    <t>渡辺勇治</t>
  </si>
  <si>
    <t>佐藤昭夫</t>
  </si>
  <si>
    <t>佐藤かつ子</t>
  </si>
  <si>
    <t>佐藤静子</t>
  </si>
  <si>
    <t>佐藤庄司</t>
  </si>
  <si>
    <t>佐藤信一</t>
  </si>
  <si>
    <t>佐藤新一</t>
  </si>
  <si>
    <t>佐藤壮一</t>
  </si>
  <si>
    <t>佐藤武志</t>
  </si>
  <si>
    <t>佐藤太郎</t>
  </si>
  <si>
    <t>佐藤照夫</t>
  </si>
  <si>
    <t>佐藤寛之</t>
  </si>
  <si>
    <t>佐藤陽次郎</t>
  </si>
  <si>
    <t>佐藤林内</t>
  </si>
  <si>
    <t>高橋栄吉</t>
  </si>
  <si>
    <t>id</t>
    <phoneticPr fontId="5"/>
  </si>
  <si>
    <t>阿部平三郎</t>
    <rPh sb="2" eb="3">
      <t>ヘイ</t>
    </rPh>
    <rPh sb="3" eb="5">
      <t>サブロウ</t>
    </rPh>
    <phoneticPr fontId="1"/>
  </si>
  <si>
    <t>小野善右衞門</t>
    <phoneticPr fontId="6"/>
  </si>
  <si>
    <t>齋藤喜良</t>
    <phoneticPr fontId="6"/>
  </si>
  <si>
    <t>佐藤たかを</t>
  </si>
  <si>
    <t>佐藤久夫</t>
    <rPh sb="1" eb="2">
      <t>トウ</t>
    </rPh>
    <rPh sb="2" eb="3">
      <t>ヒサ</t>
    </rPh>
    <rPh sb="3" eb="4">
      <t>オット</t>
    </rPh>
    <phoneticPr fontId="1"/>
  </si>
  <si>
    <t>宍戸智</t>
    <rPh sb="2" eb="3">
      <t>サトル</t>
    </rPh>
    <phoneticPr fontId="1"/>
  </si>
  <si>
    <t>鈴木かつ子</t>
  </si>
  <si>
    <t>鈴木健司</t>
    <rPh sb="2" eb="3">
      <t>タケシ</t>
    </rPh>
    <rPh sb="3" eb="4">
      <t>ツカサ</t>
    </rPh>
    <phoneticPr fontId="1"/>
  </si>
  <si>
    <t>星正</t>
  </si>
  <si>
    <t>渡邉勇一郎</t>
    <rPh sb="2" eb="3">
      <t>イサム</t>
    </rPh>
    <rPh sb="3" eb="5">
      <t>イチロウ</t>
    </rPh>
    <phoneticPr fontId="1"/>
  </si>
  <si>
    <t>星健二</t>
    <rPh sb="0" eb="1">
      <t>ホシ</t>
    </rPh>
    <rPh sb="1" eb="3">
      <t>ケンジ</t>
    </rPh>
    <phoneticPr fontId="1"/>
  </si>
  <si>
    <t>name_w2</t>
    <phoneticPr fontId="5"/>
  </si>
  <si>
    <t>相澤巖</t>
    <phoneticPr fontId="5"/>
  </si>
  <si>
    <t>id_w2</t>
    <phoneticPr fontId="5"/>
  </si>
  <si>
    <t>w2_no</t>
    <phoneticPr fontId="5"/>
  </si>
  <si>
    <t>id_w1</t>
    <phoneticPr fontId="5"/>
  </si>
  <si>
    <t>address_w2</t>
    <phoneticPr fontId="5"/>
  </si>
  <si>
    <t>七ヶ浜町吉田浜字野山１番地の２七ヶ浜第１スポーツ広場応急仮設住宅</t>
  </si>
  <si>
    <t>七ヶ浜町吉田浜字小浜７番地の２０七ヶ浜中学校第２グラウンド応急仮設住宅</t>
  </si>
  <si>
    <t>東宮浜字鶴ヶ湊８１番地の３</t>
  </si>
  <si>
    <t>代ヶ崎浜字清水１３番地</t>
  </si>
  <si>
    <t>代ヶ崎浜字清水１６番地の１</t>
  </si>
  <si>
    <t>仙台市宮城野区幸町２丁目１１－２ノーブル幸町２０２号</t>
    <phoneticPr fontId="5"/>
  </si>
  <si>
    <t>代ヶ崎浜字峯５４－８</t>
  </si>
  <si>
    <t>吉田浜字寺山２番地の２</t>
  </si>
  <si>
    <t>代ヶ崎浜字向田４４番地の７</t>
  </si>
  <si>
    <t>仙台市青葉区土樋１－１－２２－８０１</t>
  </si>
  <si>
    <t>代ヶ崎浜字向田４３番地の１</t>
  </si>
  <si>
    <t>境山２丁目１１－１０</t>
  </si>
  <si>
    <t>花渕浜字上ノ山９２番地の１</t>
  </si>
  <si>
    <t>菖蒲田浜字宅地９４番地</t>
  </si>
  <si>
    <t>菖蒲田浜字宅地８３番地</t>
  </si>
  <si>
    <t>七ヶ浜町湊浜二丁目１０番地の１湊浜二丁目応急仮設住宅</t>
  </si>
  <si>
    <t>松ヶ浜字神明前１３番地</t>
  </si>
  <si>
    <t>仙台市青葉区東照宮１丁目８－１東照の丘８０３号室</t>
  </si>
  <si>
    <t>茨城県日立市神峰町４丁目６番１４号</t>
  </si>
  <si>
    <t>代ヶ崎浜字西２１番地の３４</t>
  </si>
  <si>
    <t>多賀城市留ヶ谷３丁目５番１４号コーポおばた１０３号室</t>
  </si>
  <si>
    <t>吉田浜字宮前６５番地の４</t>
  </si>
  <si>
    <t>湊浜二丁目９番地の１</t>
  </si>
  <si>
    <t>東宮浜字東兼田１０番地の１</t>
  </si>
  <si>
    <t>松ヶ浜字浜屋敷３３番地の１</t>
  </si>
  <si>
    <t>塩竃市杉の入三丁目２－１５</t>
  </si>
  <si>
    <t>吉田浜字居久保５番地の１</t>
  </si>
  <si>
    <t>吉田浜字二月田１７番地の１</t>
  </si>
  <si>
    <t>七ヶ浜町汐見台七丁目８番地の２０汐見台七丁目応急仮設住宅</t>
  </si>
  <si>
    <t>松ヶ浜字浜屋敷４５番地の１</t>
  </si>
  <si>
    <t>松ヶ浜字謡３６番地の１２</t>
  </si>
  <si>
    <t>松ヶ浜字坂口３４番地の１</t>
  </si>
  <si>
    <t>吉田浜字大豆沢７０番地の２</t>
  </si>
  <si>
    <t>東宮浜字東浦田５６－２</t>
  </si>
  <si>
    <t>松ヶ浜字浜屋敷８５番地</t>
  </si>
  <si>
    <t>七ヶ浜町花渕浜字笹山１５番地の４１国際村第２駐車場応急仮設住宅</t>
  </si>
  <si>
    <t>代ヶ崎浜字清水６２番地の３２</t>
  </si>
  <si>
    <t>代ヶ崎浜字影田６番地の４</t>
  </si>
  <si>
    <t>七ヶ浜町吉田浜字野山５番地の９野外活動センター応急仮設住宅</t>
  </si>
  <si>
    <t>松ヶ浜字謡３３番地の７</t>
  </si>
  <si>
    <t>代ヶ崎浜字八ヶ森３１番地</t>
  </si>
  <si>
    <t>塩釜市香津町９－８コウヅビレッジＡ２０１号室</t>
  </si>
  <si>
    <t>東宮浜字小田２３番地の１</t>
  </si>
  <si>
    <t>東宮浜字要害２１番地</t>
  </si>
  <si>
    <t>東宮浜字小田２７番地の３</t>
  </si>
  <si>
    <t>代ヶ崎浜字立花２６番地</t>
  </si>
  <si>
    <t>東宮浜字東兼田１１番地の３</t>
  </si>
  <si>
    <t>東宮浜字要害４番地</t>
  </si>
  <si>
    <t>東宮浜字吉子５６番地</t>
  </si>
  <si>
    <t>東宮浜字要害３２番地</t>
  </si>
  <si>
    <t>東宮浜字穴切１０番地の１０</t>
  </si>
  <si>
    <t>東宮浜字要害３３番地</t>
  </si>
  <si>
    <t>東宮浜字西浦田１番地の１０</t>
  </si>
  <si>
    <t>代ヶ崎浜字向田４２番地の７</t>
  </si>
  <si>
    <t>東宮浜字要害４７番地の１</t>
  </si>
  <si>
    <t>塩釜市大日向町１－３４</t>
  </si>
  <si>
    <t>東宮浜字上ノ台２番地</t>
  </si>
  <si>
    <t>吉田浜字浜屋敷６１番地の２</t>
  </si>
  <si>
    <t>多賀城市東田中１丁目１－２ラ・マムーニア２０１号室</t>
  </si>
  <si>
    <t>花渕浜字舘下１２番地</t>
  </si>
  <si>
    <t>塩竃市玉川３丁目１０－３６飯田様方</t>
  </si>
  <si>
    <t>吉田浜字浜屋敷５６番地の２</t>
  </si>
  <si>
    <t>花渕浜字上ノ山７８番地</t>
  </si>
  <si>
    <t>湊浜一丁目４番地の４</t>
  </si>
  <si>
    <t>花渕浜字上ノ山７番地の２</t>
  </si>
  <si>
    <t>仙台市宮城野区福室三丁目２８－３８高砂ミューハイツ４０２号</t>
  </si>
  <si>
    <t>松ヶ浜字神明前２番地の３</t>
  </si>
  <si>
    <t>吉田浜字細田１４－５８</t>
  </si>
  <si>
    <t>松ヶ浜字西沢田８０番地</t>
  </si>
  <si>
    <t>松ヶ浜字西原６番地の１</t>
  </si>
  <si>
    <t>松ヶ浜字西沢田９６番地の１</t>
  </si>
  <si>
    <t>松ヶ浜字浜屋敷６番地</t>
  </si>
  <si>
    <t>花渕浜字藤ヶ沢３３番地の１</t>
  </si>
  <si>
    <t>花渕浜字上ノ山４５番地の５</t>
  </si>
  <si>
    <t>松ヶ浜字神明裏４７番地の１</t>
  </si>
  <si>
    <t>花渕浜字天神堂４１番地の１</t>
  </si>
  <si>
    <t>花渕浜字安場５番地</t>
  </si>
  <si>
    <t>松ヶ浜字長根１番地の３</t>
  </si>
  <si>
    <t>吉田浜字宮前６２番地の１</t>
  </si>
  <si>
    <t>吉田浜字宮前１２番地</t>
  </si>
  <si>
    <t>吉田浜字大豆沢６３番地の２</t>
  </si>
  <si>
    <t>湊浜字砂山２６－１</t>
  </si>
  <si>
    <t>松ヶ浜字神明裏３番地の１</t>
  </si>
  <si>
    <t>湊浜一丁目５番地の３</t>
  </si>
  <si>
    <t>松ヶ浜字謡２２番地の５</t>
  </si>
  <si>
    <t>松ヶ浜字神明裏４８番地の２</t>
  </si>
  <si>
    <t>東宮浜字鶴ヶ湊３３番地</t>
  </si>
  <si>
    <t>東宮浜字浜辺１７番地の３</t>
  </si>
  <si>
    <t>東宮浜字小畑２３番地</t>
  </si>
  <si>
    <t>松ヶ浜字西原６６番地</t>
  </si>
  <si>
    <t>仙台市宮城野区田子１－１０－４５ＮＴＴ社宅２１５号</t>
  </si>
  <si>
    <t>花渕浜字観音堂５番地の９</t>
  </si>
  <si>
    <t>花渕浜字上ノ山８２番地</t>
  </si>
  <si>
    <t>吉田浜字上ノ台１１番地の１</t>
  </si>
  <si>
    <t>吉田浜字浜屋敷１５番地</t>
  </si>
  <si>
    <t>湊浜字熊野１０番地の１</t>
  </si>
  <si>
    <t>汐見台５丁目２－６８</t>
  </si>
  <si>
    <t>松ヶ浜字神明裏３８番地</t>
  </si>
  <si>
    <t>汐見台南２１４－１</t>
  </si>
  <si>
    <t>湊浜一丁目３番地の１０</t>
  </si>
  <si>
    <t>菖蒲田浜字宅地８５番地</t>
  </si>
  <si>
    <t>東宮浜字寺島２３番地</t>
  </si>
  <si>
    <t>松ヶ浜字浜屋敷７８番地の１</t>
  </si>
  <si>
    <t>松ヶ浜字浜屋敷２３番地</t>
  </si>
  <si>
    <t>東宮浜字鶴ヶ湊３５番地</t>
  </si>
  <si>
    <t>松ヶ浜字浜屋敷２５番地</t>
  </si>
  <si>
    <t>松ヶ浜字浜屋敷９番地</t>
  </si>
  <si>
    <t>松ヶ浜字丸山２６番地の１</t>
  </si>
  <si>
    <t>松ヶ浜字浜屋敷２２番地</t>
  </si>
  <si>
    <t>菖蒲田浜字向山６０番地の１</t>
  </si>
  <si>
    <t>仙台市宮城野区中野字田中９フルハウス１０２</t>
  </si>
  <si>
    <t>七ヶ浜町松ヶ浜字謡３１番地の１謡児童遊園応急仮設住宅全壊</t>
  </si>
  <si>
    <t>花渕浜字上清水沢２９番地の２</t>
  </si>
  <si>
    <t>松ヶ浜字神明裏２４番地の２</t>
  </si>
  <si>
    <t>花渕浜字舘下７１番地</t>
  </si>
  <si>
    <t>松ヶ浜字神明裏６６番地の１</t>
  </si>
  <si>
    <t>松ヶ浜字笹山１３番地</t>
  </si>
  <si>
    <t>代ヶ崎浜字立花２４番地</t>
  </si>
  <si>
    <t>東宮浜字鶴ヶ湊７５番地の１</t>
  </si>
  <si>
    <t>東宮浜字寺島１６番地の１</t>
  </si>
  <si>
    <t>東宮浜字丑山１１番地の１</t>
  </si>
  <si>
    <t>東宮浜字鶴ヶ湊５１番地</t>
  </si>
  <si>
    <t>東宮浜字神明８番地の１</t>
  </si>
  <si>
    <t>東宮浜字鶴ヶ湊６１番地</t>
  </si>
  <si>
    <t>松ヶ浜字折越７番地</t>
  </si>
  <si>
    <t>菖蒲田浜字韮ヶ森１４０番地の３２</t>
  </si>
  <si>
    <t>菖蒲田浜字向山３６番地</t>
  </si>
  <si>
    <t>菖蒲田浜字久保１７０番地</t>
  </si>
  <si>
    <t>菖蒲田浜字向山６０番地の３</t>
  </si>
  <si>
    <t>菖蒲田浜字一本松２番地</t>
  </si>
  <si>
    <t>吉田浜字浜屋敷３８番地の１</t>
  </si>
  <si>
    <t>吉田浜字大豆沢３－１</t>
  </si>
  <si>
    <t>菖蒲田浜字宅地１８番地</t>
  </si>
  <si>
    <t>湊浜字砂山２２番地</t>
  </si>
  <si>
    <t>東宮浜字鶴ヶ湊２７番地の２</t>
  </si>
  <si>
    <t>菖蒲田浜字宅地６番地</t>
  </si>
  <si>
    <t>花渕浜字館下７０</t>
  </si>
  <si>
    <t>花渕浜字長須賀４５－１</t>
  </si>
  <si>
    <t>吉田浜字浜屋敷３４</t>
  </si>
  <si>
    <t>吉田浜字浜屋敷３９</t>
  </si>
  <si>
    <t>松ヶ浜字浜屋敷６４</t>
  </si>
  <si>
    <t>代ヶ崎浜字向田５１－１</t>
  </si>
  <si>
    <t>花渕浜字上ノ山２１</t>
  </si>
  <si>
    <t>菖蒲田浜字宅地９７</t>
  </si>
  <si>
    <t>松ヶ浜字浜屋敷４０</t>
  </si>
  <si>
    <t>代ヶ崎浜字向田４４－２</t>
  </si>
  <si>
    <t>菖蒲田浜字東峠下３９－１</t>
  </si>
  <si>
    <t>湊浜字熊野４８－１</t>
  </si>
  <si>
    <t>花渕浜字寺坂１２</t>
  </si>
  <si>
    <t>代ヶ崎字向田４４－５</t>
  </si>
  <si>
    <t>松ヶ浜字神明裏３０</t>
  </si>
  <si>
    <t>松ヶ浜字長根６－１</t>
  </si>
  <si>
    <t>address_w1</t>
    <phoneticPr fontId="5"/>
  </si>
  <si>
    <t>七ヶ浜町湊浜2-9-1</t>
  </si>
  <si>
    <t>七ヶ浜町湊浜1-4-4</t>
  </si>
  <si>
    <t>七ヶ浜町湊浜1-5-3</t>
  </si>
  <si>
    <t>七ヶ浜町湊浜1-3-10</t>
  </si>
  <si>
    <t>七ヶ浜町湊浜字熊野10-1</t>
  </si>
  <si>
    <t>七ヶ浜町湊浜字砂山22</t>
  </si>
  <si>
    <t>七ヶ浜町松ヶ浜字神明前13</t>
  </si>
  <si>
    <t>七ヶ浜町松ヶ浜字浜屋敷33-1</t>
  </si>
  <si>
    <t>七ヶ浜町松ヶ浜字浜屋敷45-1</t>
  </si>
  <si>
    <t>七ヶ浜町松ヶ浜字神明前6-1</t>
  </si>
  <si>
    <t>七ヶ浜町松ヶ浜字長根6-1</t>
  </si>
  <si>
    <t>七ヶ浜町松ヶ浜字謡36-12</t>
  </si>
  <si>
    <t>七ヶ浜町松ヶ浜字坂口３4-1</t>
  </si>
  <si>
    <t>七ヶ浜町松ヶ浜字浜屋敷８５</t>
  </si>
  <si>
    <t>七ヶ浜町松ヶ浜字謡33-7</t>
  </si>
  <si>
    <t>七ヶ浜町松ヶ浜字浜屋敷８２</t>
  </si>
  <si>
    <t>七ヶ浜町松ヶ浜字神明裏48-2</t>
  </si>
  <si>
    <t>七ヶ浜町松ヶ浜字神明前2-3</t>
  </si>
  <si>
    <t>七ヶ浜町松ヶ浜字西沢田80</t>
  </si>
  <si>
    <t>七ヶ浜町松ヶ浜字西原6-1</t>
  </si>
  <si>
    <t>七ヶ浜町松ヶ浜字西沢田96-1</t>
  </si>
  <si>
    <t>七ヶ浜町松ヶ浜字浜屋敷6</t>
  </si>
  <si>
    <t>七ヶ浜町松ヶ浜字神明裏47-1</t>
  </si>
  <si>
    <t>七ヶ浜町松ヶ浜字西原47-2</t>
  </si>
  <si>
    <t>七ヶ浜町松ヶ浜字長根1-3</t>
  </si>
  <si>
    <t>七ヶ浜町松ヶ浜字浜屋敷104</t>
  </si>
  <si>
    <t>七ヶ浜町松ヶ浜字神明裏3-1</t>
  </si>
  <si>
    <t>七ヶ浜町松ヶ浜字謡22-5</t>
  </si>
  <si>
    <t>七ヶ浜町松ヶ浜字笹山86</t>
  </si>
  <si>
    <t>七ヶ浜町松ヶ浜字西原66</t>
  </si>
  <si>
    <t>七ヶ浜町松ヶ浜字浜屋敷40</t>
  </si>
  <si>
    <t>七ヶ浜町松ヶ浜字神明裏38</t>
  </si>
  <si>
    <t>七ヶ浜町松ヶ浜字神明裏29</t>
  </si>
  <si>
    <t>七ヶ浜町松ヶ浜字浜屋敷78-1</t>
  </si>
  <si>
    <t>七ヶ浜町松ヶ浜字浜屋敷23</t>
  </si>
  <si>
    <t>七ヶ浜町松ヶ浜字浜屋敷25</t>
  </si>
  <si>
    <t>七ヶ浜町松ヶ浜字浜屋敷9</t>
  </si>
  <si>
    <t>七ヶ浜町松ヶ浜字丸山26-1</t>
  </si>
  <si>
    <t>七ヶ浜町松ヶ浜字浜屋敷22</t>
  </si>
  <si>
    <t>七ヶ浜町湊浜字熊野48-1</t>
  </si>
  <si>
    <t>七ヶ浜町松ヶ浜字神明裏50</t>
  </si>
  <si>
    <t>七ヶ浜町松ヶ浜字折越14-2</t>
  </si>
  <si>
    <t>七ヶ浜町松ヶ浜字神明裏19-3</t>
  </si>
  <si>
    <t>七ヶ浜町松ヶ浜字浜屋敷103</t>
  </si>
  <si>
    <t>七ヶ浜町松ヶ浜字神明裏24-2</t>
  </si>
  <si>
    <t>七ヶ浜町松ヶ浜字浜屋敷64</t>
  </si>
  <si>
    <t>七ヶ浜町松ヶ浜字笹山13</t>
  </si>
  <si>
    <t>七ヶ浜町松ヶ浜字折越7</t>
  </si>
  <si>
    <t>七ヶ浜町</t>
  </si>
  <si>
    <t>七ヶ浜町菖蒲田浜字宅地94</t>
  </si>
  <si>
    <t>七ヶ浜町菖蒲田浜字宅地83</t>
  </si>
  <si>
    <t>七ヶ浜町菖蒲田浜字宅地40</t>
  </si>
  <si>
    <t>七ヶ浜町菖蒲田浜字宅地44-1</t>
  </si>
  <si>
    <t>七ヶ浜町菖蒲田浜字牛ノ鼻木34</t>
  </si>
  <si>
    <t>七ヶ浜町菖蒲田浜字西峠下6-1</t>
  </si>
  <si>
    <t>七ヶ浜町菖蒲田浜字宅地72</t>
  </si>
  <si>
    <t>七ヶ浜町菖蒲田浜字東峠下39-1</t>
  </si>
  <si>
    <t>七ヶ浜町菖蒲田浜字招又35</t>
  </si>
  <si>
    <t>七ヶ浜町菖蒲田浜字宅地39-3</t>
  </si>
  <si>
    <t>七ヶ浜町菖蒲田浜字宅地59-1</t>
  </si>
  <si>
    <t>七ヶ浜町菖蒲田浜字宅地66-1</t>
  </si>
  <si>
    <t>七ヶ浜町菖蒲田浜字宅地74</t>
  </si>
  <si>
    <t>七ヶ浜町菖蒲田浜字浜伊場2</t>
  </si>
  <si>
    <t>七ヶ浜町菖蒲田浜字宅地27</t>
  </si>
  <si>
    <t>七ヶ浜町菖蒲田浜字東峠下22</t>
  </si>
  <si>
    <t>七ヶ浜町菖蒲田浜字向山46-2</t>
  </si>
  <si>
    <t>七ヶ浜町菖蒲田浜字宅地85</t>
  </si>
  <si>
    <t>七ヶ浜町菖蒲田浜字宅地100</t>
  </si>
  <si>
    <t>七ヶ浜町菖蒲田浜字宅地25</t>
  </si>
  <si>
    <t>七ヶ浜町菖蒲田浜字宅地26</t>
  </si>
  <si>
    <t>七ヶ浜町花渕浜字長須賀45-1</t>
  </si>
  <si>
    <t>七ヶ浜町菖蒲田浜字宅地63</t>
  </si>
  <si>
    <t>七ヶ浜町菖蒲田浜字向山60-１</t>
  </si>
  <si>
    <t>七ヶ浜町菖蒲田浜字宅地64</t>
  </si>
  <si>
    <t>七ヶ浜町松ヶ浜字神明裏66-1</t>
  </si>
  <si>
    <t>七ヶ浜町菖蒲田浜字宅地60</t>
  </si>
  <si>
    <t>七ヶ浜町菖蒲田浜字韮ヶ森140-32</t>
  </si>
  <si>
    <t>七ヶ浜町菖蒲田浜字向山36</t>
  </si>
  <si>
    <t>七ヶ浜町菖蒲田浜字久保170</t>
  </si>
  <si>
    <t>七ヶ浜町花渕浜字長須賀17-1</t>
  </si>
  <si>
    <t>七ヶ浜町菖蒲田浜字後田147-1</t>
  </si>
  <si>
    <t>七ヶ浜町菖蒲田浜字向山60-3</t>
  </si>
  <si>
    <t>七ヶ浜町菖蒲田浜字宅地53</t>
  </si>
  <si>
    <t>七ヶ浜町菖蒲田浜字橋元20-1</t>
  </si>
  <si>
    <t>七ヶ浜町菖蒲田浜字向山35-4</t>
  </si>
  <si>
    <t>七ヶ浜町菖蒲田浜字宅地101</t>
  </si>
  <si>
    <t>七ヶ浜町菖蒲田浜字浜伊場62</t>
  </si>
  <si>
    <t>七ヶ浜町菖蒲田浜字長砂19-17</t>
  </si>
  <si>
    <t>七ヶ浜町菖蒲田浜字宅地62</t>
  </si>
  <si>
    <t>七ヶ浜町菖蒲田浜字宅地46</t>
  </si>
  <si>
    <t>七ヶ浜町菖蒲田浜字向山33</t>
  </si>
  <si>
    <t>七ヶ浜町菖蒲田浜字宅地97</t>
  </si>
  <si>
    <t>七ヶ浜町菖蒲田浜字宅地８１</t>
  </si>
  <si>
    <t>七ヶ浜町菖蒲田浜字宅地68</t>
  </si>
  <si>
    <t>七ヶ浜町菖蒲田浜字浜伊場12</t>
  </si>
  <si>
    <t>七ヶ浜町菖蒲田浜字宅地18</t>
  </si>
  <si>
    <t>七ヶ浜町花渕浜字長須賀44-3</t>
  </si>
  <si>
    <t>七ヶ浜町菖蒲田浜字宅地6</t>
  </si>
  <si>
    <t>七ヶ浜町花渕浜字浜沼14-11</t>
  </si>
  <si>
    <t>七ヶ浜町花渕浜字舘下4</t>
  </si>
  <si>
    <t>七ヶ浜町境山1丁目9-21-102</t>
  </si>
  <si>
    <t>七ヶ浜町花渕浜字舘下28-2</t>
  </si>
  <si>
    <t>七ヶ浜町花渕浜字安場１-１</t>
  </si>
  <si>
    <t>七ヶ浜町花渕浜字舘下50-3</t>
  </si>
  <si>
    <t>七ヶ浜町花渕浜字舘下67-1</t>
  </si>
  <si>
    <t>七ヶ浜町花渕浜字舘下58</t>
  </si>
  <si>
    <t>七ヶ浜町花渕浜字舘下9-1</t>
  </si>
  <si>
    <t>七ヶ浜町花渕浜字表浜一26-1</t>
  </si>
  <si>
    <t>七ヶ浜町花渕浜字舘下70</t>
  </si>
  <si>
    <t>七ヶ浜町花渕浜字舘下57-1</t>
  </si>
  <si>
    <t>七ヶ浜町花渕浜字上清水沢28-1</t>
  </si>
  <si>
    <t>七ヶ浜町花渕浜字舘下32-1</t>
  </si>
  <si>
    <t>七ヶ浜町花渕浜字舘下59</t>
  </si>
  <si>
    <t>七ヶ浜町花渕浜字舘下48</t>
  </si>
  <si>
    <t>七ヶ浜町花渕浜字舘下56</t>
  </si>
  <si>
    <t>七ヶ浜町花渕浜字舘下12</t>
  </si>
  <si>
    <t>七ヶ浜町花渕浜字舘下29</t>
  </si>
  <si>
    <t>七ヶ浜町花渕浜字上ノ山45-5</t>
  </si>
  <si>
    <t>七ヶ浜町花渕浜字天神堂41-1</t>
  </si>
  <si>
    <t>七ヶ浜町花渕浜字安場5</t>
  </si>
  <si>
    <t>七ヶ浜町花渕浜字舘下29-1</t>
  </si>
  <si>
    <t>七ヶ浜町花渕浜字舘下31</t>
  </si>
  <si>
    <t>七ヶ浜町花渕浜字観音堂5-9</t>
  </si>
  <si>
    <t>七ヶ浜町花渕浜字舘下30</t>
  </si>
  <si>
    <t>七ヶ浜町花渕浜字上清水沢29</t>
  </si>
  <si>
    <t>七ヶ浜町花渕浜字館下７１</t>
  </si>
  <si>
    <t>七ヶ浜町花渕浜字舘下59-1</t>
  </si>
  <si>
    <t>七ヶ浜町花渕浜字寺坂１２</t>
  </si>
  <si>
    <t>七ヶ浜町吉田浜字寺山2-2</t>
  </si>
  <si>
    <t>七ヶ浜町花渕浜字上ノ山80-3</t>
  </si>
  <si>
    <t>七ヶ浜町花渕浜字上ノ山92-1</t>
  </si>
  <si>
    <t>七ヶ浜町花渕浜字上ノ山21</t>
  </si>
  <si>
    <t>七ヶ浜町吉田浜字浜屋敷54</t>
  </si>
  <si>
    <t>七ヶ浜町吉田浜字浜屋敷53-1</t>
  </si>
  <si>
    <t>七ヶ浜町吉田浜字宮前65-4</t>
  </si>
  <si>
    <t>七ヶ浜町吉田浜字台95-1</t>
  </si>
  <si>
    <t>七ヶ浜町吉田浜字二月田17-1</t>
  </si>
  <si>
    <t>七ヶ浜町吉田浜字浜屋敷33</t>
  </si>
  <si>
    <t>七ヶ浜町吉田浜字浜屋敷36</t>
  </si>
  <si>
    <t>七ヶ浜町吉田浜字大豆沢70-2</t>
  </si>
  <si>
    <t>七ヶ浜町吉田浜字浜屋敷9</t>
  </si>
  <si>
    <t>七ヶ浜町花渕浜字上ノ山78</t>
  </si>
  <si>
    <t>七ヶ浜町花渕浜字上ノ山7-2</t>
  </si>
  <si>
    <t>七ヶ浜町吉田浜字浜屋敷45</t>
  </si>
  <si>
    <t>七ヶ浜町吉田浜字浜屋敷31</t>
  </si>
  <si>
    <t>七ヶ浜町吉田浜字浜屋敷34</t>
  </si>
  <si>
    <t>七ヶ浜町吉田浜字浜屋敷39</t>
  </si>
  <si>
    <t>七ヶ浜町吉田浜字浜屋敷56-2</t>
  </si>
  <si>
    <t>七ヶ浜町吉田浜字浜屋敷26</t>
  </si>
  <si>
    <t>七ヶ浜町吉田浜字宮前62-1</t>
  </si>
  <si>
    <t>七ヶ浜町吉田浜字宮前12</t>
  </si>
  <si>
    <t>七ヶ浜町吉田浜字大豆沢63-2</t>
  </si>
  <si>
    <t>七ヶ浜町吉田浜字浜屋敷３１</t>
  </si>
  <si>
    <t>七ヶ浜町吉田浜字浜屋敷29</t>
  </si>
  <si>
    <t>七ヶ浜町花渕浜字藤ヶ沢33-</t>
  </si>
  <si>
    <t>七ヶ浜町花渕浜字上ノ山８２</t>
  </si>
  <si>
    <t>七ヶ浜町吉田浜字上ノ台１１－１</t>
  </si>
  <si>
    <t>七ヶ浜町吉田浜字浜屋敷１５</t>
  </si>
  <si>
    <t>七ヶ浜町吉田浜字浜屋敷38-1</t>
  </si>
  <si>
    <t>七ヶ浜町花渕浜字上ノ山72-2</t>
  </si>
  <si>
    <t>七ヶ浜町代ヶ崎浜字清水13</t>
  </si>
  <si>
    <t>七ヶ浜町代ヶ崎浜字清水6</t>
  </si>
  <si>
    <t>七ヶ浜町代ヶ崎浜字清水16-1</t>
  </si>
  <si>
    <t>七ヶ浜町代ヶ崎浜字清水19</t>
  </si>
  <si>
    <t>七ヶ浜町代ヶ崎浜字向田43-2</t>
  </si>
  <si>
    <t>七ヶ浜町代ヶ崎浜字向田52</t>
  </si>
  <si>
    <t>七ヶ浜町代ヶ崎浜字立花53</t>
  </si>
  <si>
    <t>七ヶ浜町代ヶ崎浜字向田47</t>
  </si>
  <si>
    <t>七ヶ浜町代ヶ崎浜字向田44-7</t>
  </si>
  <si>
    <t>七ヶ浜町代ヶ崎浜字向田54</t>
  </si>
  <si>
    <t>七ヶ浜町代ヶ崎浜字向田44-2</t>
  </si>
  <si>
    <t>七ヶ浜町代ヶ崎浜字向田43-1</t>
  </si>
  <si>
    <t>七ヶ浜町吉田浜字神明20-14</t>
  </si>
  <si>
    <t>七ヶ浜町代ヶ崎浜字西21-34</t>
  </si>
  <si>
    <t>七ヶ浜町代ヶ崎浜字向田51</t>
  </si>
  <si>
    <t>七ヶ浜町代ヶ崎浜字向田55-2</t>
  </si>
  <si>
    <t>七ヶ浜町代ヶ崎浜字清水62-</t>
  </si>
  <si>
    <t>七ヶ浜町代ヶ崎浜字影田6-4</t>
  </si>
  <si>
    <t>七ヶ浜町代ヶ崎浜字向田48</t>
  </si>
  <si>
    <t>七ヶ浜町代ヶ崎浜字向田42-1</t>
  </si>
  <si>
    <t>七ヶ浜町代ヶ崎浜字向田49-1</t>
  </si>
  <si>
    <t>七ヶ浜町代ヶ崎浜字八ヶ森31</t>
  </si>
  <si>
    <t>七ヶ浜町代ヶ崎浜字立花26</t>
  </si>
  <si>
    <t>七ヶ浜町代ヶ崎浜字向田44-3</t>
  </si>
  <si>
    <t>七ヶ浜町代ヶ崎浜字向田４４－５</t>
  </si>
  <si>
    <t>七ヶ浜町代ヶ崎浜字立花36</t>
  </si>
  <si>
    <t>七ヶ浜町代ヶ崎浜字清水62-15</t>
  </si>
  <si>
    <t>七ヶ浜町代ヶ崎浜字向田４２－７</t>
  </si>
  <si>
    <t>七ヶ浜町代ヶ崎浜字向田42-5</t>
  </si>
  <si>
    <t>七ヶ浜町吉田浜字神明30</t>
  </si>
  <si>
    <t>七ヶ浜町代ヶ崎浜字向田49-2</t>
  </si>
  <si>
    <t>七ヶ浜町代ヶ崎浜字立花24</t>
  </si>
  <si>
    <t>七ヶ浜町代ヶ崎浜字影田36-1</t>
  </si>
  <si>
    <t>七ヶ浜町東宮浜字鶴ヶ湊81-3</t>
  </si>
  <si>
    <t>七ヶ浜町東宮浜字東兼田10-1</t>
  </si>
  <si>
    <t>七ヶ浜町東宮浜字穴切10-10</t>
  </si>
  <si>
    <t>七ヶ浜町東宮浜字西浦田1-10</t>
  </si>
  <si>
    <t>七ヶ浜町東宮浜字上ノ台2</t>
  </si>
  <si>
    <t>七ヶ浜町東宮浜字寺島23</t>
  </si>
  <si>
    <t>七ヶ浜町東宮浜字鶴ヶ湊33</t>
  </si>
  <si>
    <t>七ヶ浜町東宮浜字上ノ台7</t>
  </si>
  <si>
    <t>七ヶ浜町東宮浜字浜辺17-3</t>
  </si>
  <si>
    <t>七ヶ浜町東宮浜字鶴ヶ湊36</t>
  </si>
  <si>
    <t>七ヶ浜町東宮浜字鶴ヶ湊35</t>
  </si>
  <si>
    <t>七ヶ浜町東宮浜字神明18-1</t>
  </si>
  <si>
    <t>七ヶ浜町東宮浜字上ノ台5</t>
  </si>
  <si>
    <t>七ヶ浜町東宮浜字鶴ヶ湊75-1</t>
  </si>
  <si>
    <t>七ヶ浜町東宮浜字寺島16-1</t>
  </si>
  <si>
    <t>七ヶ浜町東宮浜字丑山11-1</t>
  </si>
  <si>
    <t>七ヶ浜町東宮浜字鶴ヶ湊51</t>
  </si>
  <si>
    <t>七ヶ浜町東宮浜字浜辺58-5</t>
  </si>
  <si>
    <t>七ヶ浜町東宮浜字神明8-1</t>
  </si>
  <si>
    <t>七ヶ浜町東宮浜字鶴ヶ湊61</t>
  </si>
  <si>
    <t>七ヶ浜町東宮浜字鶴ヶ湊27-2</t>
  </si>
  <si>
    <t>七ヶ浜町東宮浜字要害11-1</t>
  </si>
  <si>
    <t>七ヶ浜町東宮浜字要害31</t>
  </si>
  <si>
    <t>七ヶ浜町東宮浜字要害32</t>
  </si>
  <si>
    <t>七ヶ浜町東宮浜字小田23-1</t>
  </si>
  <si>
    <t>七ヶ浜町東宮浜字要害２１</t>
  </si>
  <si>
    <t>七ヶ浜町東宮浜字小田27-3</t>
  </si>
  <si>
    <t>七ヶ浜町東宮浜字要害１４</t>
  </si>
  <si>
    <t>七ヶ浜町東宮浜字東兼田11-3</t>
  </si>
  <si>
    <t>七ヶ浜町東宮浜字要害4</t>
  </si>
  <si>
    <t>七ヶ浜町東宮浜字吉子５６</t>
  </si>
  <si>
    <t>七ヶ浜町東宮浜字要害33</t>
  </si>
  <si>
    <t>七ヶ浜町東宮浜字要害17-2</t>
  </si>
  <si>
    <t>七ヶ浜町東宮浜字要害47-1</t>
  </si>
  <si>
    <t>七ヶ浜町東宮浜字小畑23</t>
  </si>
  <si>
    <t>阿部展明</t>
    <rPh sb="0" eb="2">
      <t>アベ</t>
    </rPh>
    <rPh sb="2" eb="3">
      <t>テン</t>
    </rPh>
    <rPh sb="3" eb="4">
      <t>メイ</t>
    </rPh>
    <phoneticPr fontId="4"/>
  </si>
  <si>
    <t>菊池孝夫</t>
    <rPh sb="0" eb="2">
      <t>キクチ</t>
    </rPh>
    <rPh sb="2" eb="4">
      <t>タカオ</t>
    </rPh>
    <phoneticPr fontId="4"/>
  </si>
  <si>
    <t>和田信嘉</t>
    <rPh sb="0" eb="2">
      <t>ワダ</t>
    </rPh>
    <rPh sb="2" eb="3">
      <t>シン</t>
    </rPh>
    <rPh sb="3" eb="4">
      <t>カ</t>
    </rPh>
    <phoneticPr fontId="4"/>
  </si>
  <si>
    <t>大場政夫</t>
    <rPh sb="0" eb="2">
      <t>オオバ</t>
    </rPh>
    <rPh sb="2" eb="4">
      <t>マサオ</t>
    </rPh>
    <phoneticPr fontId="4"/>
  </si>
  <si>
    <t>斉藤善良</t>
    <rPh sb="0" eb="2">
      <t>サイトウ</t>
    </rPh>
    <rPh sb="2" eb="4">
      <t>ヨシラ</t>
    </rPh>
    <phoneticPr fontId="4"/>
  </si>
  <si>
    <t>鈴木政子</t>
    <rPh sb="0" eb="2">
      <t>スズキ</t>
    </rPh>
    <rPh sb="2" eb="4">
      <t>マサコ</t>
    </rPh>
    <phoneticPr fontId="4"/>
  </si>
  <si>
    <t>渡辺敏幸</t>
    <rPh sb="0" eb="2">
      <t>ワタナベ</t>
    </rPh>
    <rPh sb="2" eb="4">
      <t>トシユキ</t>
    </rPh>
    <phoneticPr fontId="4"/>
  </si>
  <si>
    <t>伊藤俊一</t>
    <rPh sb="0" eb="2">
      <t>イトウ</t>
    </rPh>
    <rPh sb="2" eb="4">
      <t>シュンイチ</t>
    </rPh>
    <phoneticPr fontId="4"/>
  </si>
  <si>
    <t>瀬戸克衛</t>
    <rPh sb="0" eb="2">
      <t>セト</t>
    </rPh>
    <rPh sb="2" eb="3">
      <t>カツ</t>
    </rPh>
    <rPh sb="3" eb="4">
      <t>エイ</t>
    </rPh>
    <phoneticPr fontId="4"/>
  </si>
  <si>
    <t>最上寛</t>
    <rPh sb="0" eb="2">
      <t>モガミ</t>
    </rPh>
    <rPh sb="2" eb="3">
      <t>ヒロシ</t>
    </rPh>
    <phoneticPr fontId="4"/>
  </si>
  <si>
    <t>鈴木兵規</t>
    <rPh sb="0" eb="2">
      <t>スズキ</t>
    </rPh>
    <rPh sb="2" eb="3">
      <t>ヒョウ</t>
    </rPh>
    <rPh sb="3" eb="4">
      <t>タダシ</t>
    </rPh>
    <phoneticPr fontId="4"/>
  </si>
  <si>
    <t>渡辺新市</t>
    <rPh sb="0" eb="2">
      <t>ワタナベ</t>
    </rPh>
    <rPh sb="2" eb="4">
      <t>シンイチ</t>
    </rPh>
    <phoneticPr fontId="4"/>
  </si>
  <si>
    <t>渡辺徳浩</t>
    <rPh sb="0" eb="2">
      <t>ワタナベ</t>
    </rPh>
    <rPh sb="2" eb="3">
      <t>トク</t>
    </rPh>
    <rPh sb="3" eb="4">
      <t>ヒロシ</t>
    </rPh>
    <phoneticPr fontId="4"/>
  </si>
  <si>
    <t>星孝幸</t>
    <rPh sb="0" eb="1">
      <t>ホシ</t>
    </rPh>
    <rPh sb="1" eb="3">
      <t>タカユキ</t>
    </rPh>
    <phoneticPr fontId="4"/>
  </si>
  <si>
    <t>鈴木栄</t>
    <rPh sb="0" eb="2">
      <t>スズキ</t>
    </rPh>
    <rPh sb="2" eb="3">
      <t>サカエ</t>
    </rPh>
    <phoneticPr fontId="4"/>
  </si>
  <si>
    <t>阿部孝子</t>
    <rPh sb="0" eb="2">
      <t>アベ</t>
    </rPh>
    <rPh sb="2" eb="4">
      <t>タカコ</t>
    </rPh>
    <phoneticPr fontId="4"/>
  </si>
  <si>
    <t>遠藤喜一</t>
    <rPh sb="0" eb="2">
      <t>エンドウ</t>
    </rPh>
    <rPh sb="2" eb="4">
      <t>キイチ</t>
    </rPh>
    <phoneticPr fontId="4"/>
  </si>
  <si>
    <t>平山新一</t>
    <rPh sb="0" eb="2">
      <t>ヒラヤマ</t>
    </rPh>
    <rPh sb="2" eb="3">
      <t>シン</t>
    </rPh>
    <rPh sb="3" eb="4">
      <t>イチ</t>
    </rPh>
    <phoneticPr fontId="4"/>
  </si>
  <si>
    <t>遠藤静</t>
    <rPh sb="0" eb="2">
      <t>エンドウ</t>
    </rPh>
    <rPh sb="2" eb="3">
      <t>シズカ</t>
    </rPh>
    <phoneticPr fontId="4"/>
  </si>
  <si>
    <t>郷古久造</t>
    <rPh sb="0" eb="1">
      <t>サト</t>
    </rPh>
    <rPh sb="1" eb="2">
      <t>フル</t>
    </rPh>
    <rPh sb="2" eb="3">
      <t>ヒサ</t>
    </rPh>
    <rPh sb="3" eb="4">
      <t>ゾウ</t>
    </rPh>
    <phoneticPr fontId="4"/>
  </si>
  <si>
    <t>郷古祐介</t>
    <rPh sb="0" eb="1">
      <t>ゴウ</t>
    </rPh>
    <rPh sb="1" eb="2">
      <t>コ</t>
    </rPh>
    <rPh sb="2" eb="4">
      <t>ユウスケ</t>
    </rPh>
    <phoneticPr fontId="4"/>
  </si>
  <si>
    <t>大場一永</t>
    <rPh sb="0" eb="2">
      <t>オオバ</t>
    </rPh>
    <rPh sb="2" eb="3">
      <t>イチ</t>
    </rPh>
    <rPh sb="3" eb="4">
      <t>ナガ</t>
    </rPh>
    <phoneticPr fontId="4"/>
  </si>
  <si>
    <t>相澤一</t>
    <rPh sb="0" eb="2">
      <t>アイザワ</t>
    </rPh>
    <rPh sb="2" eb="3">
      <t>ハジメ</t>
    </rPh>
    <phoneticPr fontId="4"/>
  </si>
  <si>
    <t>星光春</t>
    <rPh sb="0" eb="1">
      <t>ホシ</t>
    </rPh>
    <rPh sb="1" eb="3">
      <t>ミツハル</t>
    </rPh>
    <phoneticPr fontId="4"/>
  </si>
  <si>
    <t>相澤正志</t>
    <rPh sb="0" eb="2">
      <t>アイザワ</t>
    </rPh>
    <rPh sb="2" eb="4">
      <t>マサシ</t>
    </rPh>
    <phoneticPr fontId="4"/>
  </si>
  <si>
    <t>星真也</t>
    <rPh sb="0" eb="1">
      <t>ホシ</t>
    </rPh>
    <rPh sb="1" eb="3">
      <t>シンヤ</t>
    </rPh>
    <phoneticPr fontId="4"/>
  </si>
  <si>
    <t>後藤邦夫</t>
    <rPh sb="0" eb="2">
      <t>ゴトウ</t>
    </rPh>
    <rPh sb="2" eb="4">
      <t>クニオ</t>
    </rPh>
    <phoneticPr fontId="4"/>
  </si>
  <si>
    <t>渡邉興蔵</t>
    <rPh sb="0" eb="2">
      <t>ワタナベ</t>
    </rPh>
    <rPh sb="2" eb="3">
      <t>コウ</t>
    </rPh>
    <rPh sb="3" eb="4">
      <t>クラ</t>
    </rPh>
    <phoneticPr fontId="4"/>
  </si>
  <si>
    <t>鈴木完平</t>
    <rPh sb="0" eb="2">
      <t>スズキ</t>
    </rPh>
    <rPh sb="2" eb="3">
      <t>カン</t>
    </rPh>
    <rPh sb="3" eb="4">
      <t>ヒラ</t>
    </rPh>
    <phoneticPr fontId="4"/>
  </si>
  <si>
    <t>渡辺正治</t>
    <rPh sb="0" eb="2">
      <t>ワタナベ</t>
    </rPh>
    <rPh sb="2" eb="4">
      <t>マサハル</t>
    </rPh>
    <phoneticPr fontId="4"/>
  </si>
  <si>
    <t>星孝一</t>
  </si>
  <si>
    <t>阿部展明</t>
  </si>
  <si>
    <t>初出</t>
    <rPh sb="0" eb="2">
      <t>ショシュツ</t>
    </rPh>
    <phoneticPr fontId="5"/>
  </si>
  <si>
    <t>w3</t>
    <phoneticPr fontId="5"/>
  </si>
  <si>
    <t>w4</t>
  </si>
  <si>
    <t>district_w3</t>
    <phoneticPr fontId="5"/>
  </si>
  <si>
    <t>w1</t>
    <phoneticPr fontId="5"/>
  </si>
  <si>
    <t>w2</t>
    <phoneticPr fontId="5"/>
  </si>
  <si>
    <t>湊浜</t>
  </si>
  <si>
    <t/>
  </si>
  <si>
    <t>松ヶ浜</t>
  </si>
  <si>
    <t>菖蒲田浜</t>
  </si>
  <si>
    <t>利府町</t>
  </si>
  <si>
    <t>花渕浜</t>
  </si>
  <si>
    <t>吉田浜</t>
  </si>
  <si>
    <t>代ヶ崎浜</t>
  </si>
  <si>
    <t>東宮浜</t>
  </si>
  <si>
    <t>要害</t>
  </si>
  <si>
    <t>仙台市</t>
  </si>
  <si>
    <t>多賀城市</t>
  </si>
  <si>
    <t xml:space="preserve"> </t>
    <phoneticPr fontId="5"/>
  </si>
  <si>
    <t>七ヶ浜町松ヶ浜字西沢田ハ〇</t>
  </si>
  <si>
    <t>塩釜市花立町9-7</t>
  </si>
  <si>
    <t>七ヶ浜町東宮浜上ノ台二番地</t>
  </si>
  <si>
    <t>三浦専治</t>
    <rPh sb="0" eb="2">
      <t>ミウラ</t>
    </rPh>
    <rPh sb="2" eb="3">
      <t>セン</t>
    </rPh>
    <rPh sb="3" eb="4">
      <t>オサ</t>
    </rPh>
    <phoneticPr fontId="2"/>
  </si>
  <si>
    <t>境山</t>
  </si>
  <si>
    <t>神谷沢</t>
  </si>
  <si>
    <t>district_w4</t>
    <phoneticPr fontId="2"/>
  </si>
  <si>
    <t>address_w4</t>
    <phoneticPr fontId="2"/>
  </si>
  <si>
    <t>七ヶ浜町湊浜二--一一号棟二号室</t>
  </si>
  <si>
    <t>七ヶ浜町吉田浜字野山五－九仮設八－八</t>
  </si>
  <si>
    <t>塩釜市袖野田町一二－三サンフラワー二一○二号室</t>
  </si>
  <si>
    <t>七ヶ浜町吉田浜字野山一-二二○号棟三号室</t>
  </si>
  <si>
    <t>渡邉直樹</t>
    <rPh sb="2" eb="4">
      <t>ワタナベ　ナオキ</t>
    </rPh>
    <phoneticPr fontId="2"/>
  </si>
  <si>
    <t>七ヶ浜町吉田浜字小浜七－二〇仮設二－三</t>
  </si>
  <si>
    <t>七ヶ浜町吉田浜町山一-二十五号棟二号室</t>
  </si>
  <si>
    <t>鈴木敏男</t>
  </si>
  <si>
    <t>七ヶ浜町汐見台市七丁目八-二○三-三</t>
  </si>
  <si>
    <t>佐藤三夫</t>
    <rPh sb="2" eb="3">
      <t>サン</t>
    </rPh>
    <rPh sb="3" eb="4">
      <t>フ</t>
    </rPh>
    <phoneticPr fontId="2"/>
  </si>
  <si>
    <t>七ヶ浜町吉田浜字町山一－二仮設一〇－一</t>
  </si>
  <si>
    <t>星きよ</t>
    <rPh sb="0" eb="1">
      <t>ホシ</t>
    </rPh>
    <phoneticPr fontId="4"/>
  </si>
  <si>
    <t>遠藤サト</t>
    <rPh sb="0" eb="2">
      <t>エンドウ</t>
    </rPh>
    <phoneticPr fontId="4"/>
  </si>
  <si>
    <t>小玉助勝</t>
    <rPh sb="0" eb="2">
      <t>コダマ</t>
    </rPh>
    <rPh sb="2" eb="3">
      <t>スケ</t>
    </rPh>
    <rPh sb="3" eb="4">
      <t>カツ</t>
    </rPh>
    <phoneticPr fontId="2"/>
  </si>
  <si>
    <t>小玉一彦</t>
    <rPh sb="0" eb="2">
      <t>コダマ</t>
    </rPh>
    <rPh sb="2" eb="3">
      <t>イチ</t>
    </rPh>
    <rPh sb="3" eb="4">
      <t>ヒコ</t>
    </rPh>
    <phoneticPr fontId="2"/>
  </si>
  <si>
    <t>七ヶ浜町吉田浜字小浜七-二〇仮設三－七</t>
  </si>
  <si>
    <t>鎌田秀也</t>
    <rPh sb="0" eb="2">
      <t>カマタ</t>
    </rPh>
    <rPh sb="2" eb="3">
      <t>シュウ</t>
    </rPh>
    <rPh sb="3" eb="4">
      <t>ナリ</t>
    </rPh>
    <phoneticPr fontId="2"/>
  </si>
  <si>
    <t>我妻卓郎</t>
    <rPh sb="0" eb="2">
      <t>ワガツマ</t>
    </rPh>
    <rPh sb="2" eb="4">
      <t>タクロウ</t>
    </rPh>
    <phoneticPr fontId="2"/>
  </si>
  <si>
    <t>井上貴幸</t>
    <rPh sb="0" eb="2">
      <t>イノウエ</t>
    </rPh>
    <rPh sb="2" eb="4">
      <t>タカユキ</t>
    </rPh>
    <phoneticPr fontId="2"/>
  </si>
  <si>
    <t>三浦康喜</t>
    <rPh sb="0" eb="2">
      <t>ミウラ</t>
    </rPh>
    <rPh sb="2" eb="4">
      <t>ヤスキ</t>
    </rPh>
    <phoneticPr fontId="2"/>
  </si>
  <si>
    <t>星はなよ</t>
  </si>
  <si>
    <t>吉田千也子</t>
    <rPh sb="0" eb="2">
      <t>ヨシダ</t>
    </rPh>
    <rPh sb="2" eb="3">
      <t>セン</t>
    </rPh>
    <rPh sb="3" eb="4">
      <t>ヤ</t>
    </rPh>
    <rPh sb="4" eb="5">
      <t>コ</t>
    </rPh>
    <phoneticPr fontId="3"/>
  </si>
  <si>
    <t>阿部隆雄</t>
    <rPh sb="0" eb="2">
      <t>アベ</t>
    </rPh>
    <rPh sb="2" eb="4">
      <t>タカオ</t>
    </rPh>
    <phoneticPr fontId="2"/>
  </si>
  <si>
    <t>阿部誠一</t>
    <rPh sb="0" eb="2">
      <t>アベ</t>
    </rPh>
    <rPh sb="2" eb="4">
      <t>セイイチ</t>
    </rPh>
    <phoneticPr fontId="2"/>
  </si>
  <si>
    <t>岩本久一郎</t>
    <rPh sb="2" eb="3">
      <t>キュウ</t>
    </rPh>
    <rPh sb="3" eb="5">
      <t>イチロウ</t>
    </rPh>
    <phoneticPr fontId="2"/>
  </si>
  <si>
    <t>安藤武</t>
    <rPh sb="0" eb="2">
      <t>アンドウ</t>
    </rPh>
    <rPh sb="2" eb="3">
      <t>タケシ</t>
    </rPh>
    <phoneticPr fontId="2"/>
  </si>
  <si>
    <t>鈴木邦彦</t>
    <rPh sb="0" eb="2">
      <t>スズキ</t>
    </rPh>
    <rPh sb="2" eb="4">
      <t>クニヒコ</t>
    </rPh>
    <phoneticPr fontId="2"/>
  </si>
  <si>
    <t>w4</t>
    <phoneticPr fontId="5"/>
  </si>
  <si>
    <t>遠藤やえ子</t>
    <phoneticPr fontId="5"/>
  </si>
  <si>
    <t>瀬戸秀壽</t>
    <phoneticPr fontId="5"/>
  </si>
  <si>
    <t>七ヶ浜町湊浜二-九-一</t>
  </si>
  <si>
    <t>七ヶ浜町湊浜一-四-四</t>
  </si>
  <si>
    <t>七ヶ浜町湊浜一-五-三</t>
  </si>
  <si>
    <t>七ヶ浜町湊浜字熊野十-一</t>
  </si>
  <si>
    <t>七ヶ浜町湊浜字砂山二二</t>
  </si>
  <si>
    <t>七ヶ浜町松ヶ浜字神明前一三</t>
  </si>
  <si>
    <t>七ヶ浜町松ヶ浜字浜屋敷三三-一</t>
  </si>
  <si>
    <t>七ヶ浜町松ヶ浜字浜屋敷四五-一</t>
  </si>
  <si>
    <t>七ヶ浜町松ヶ浜字神明前六-一</t>
  </si>
  <si>
    <t>七ヶ浜町松ヶ浜字長根六-一</t>
  </si>
  <si>
    <t>七ヶ浜町松ヶ浜字謡三六-一二</t>
  </si>
  <si>
    <t>七ヶ浜町松ヶ浜字坂口三四-一</t>
  </si>
  <si>
    <t>七ヶ浜町松ヶ浜字浜屋敷八五</t>
  </si>
  <si>
    <t>七ヶ浜町松ヶ浜字謡三三-七</t>
  </si>
  <si>
    <t>七ヶ浜町松ヶ浜字浜屋敷八二</t>
  </si>
  <si>
    <t>七ヶ浜町松ヶ浜字神明裏四八-二</t>
  </si>
  <si>
    <t>七ヶ浜町松ヶ浜字神明前二-三</t>
  </si>
  <si>
    <t>七ヶ浜町松ヶ浜字西原六-一</t>
  </si>
  <si>
    <t>七ヶ浜町松ヶ浜字浜屋敷六</t>
  </si>
  <si>
    <t>七ヶ浜町松ヶ浜字神明裏四七-一</t>
  </si>
  <si>
    <t>七ヶ浜町松ヶ浜字西原四七-二</t>
  </si>
  <si>
    <t>七ヶ浜町松ヶ浜字長根一-三</t>
  </si>
  <si>
    <t>七ヶ浜町松ヶ浜字浜屋敷一〇四</t>
  </si>
  <si>
    <t>七ヶ浜町松ヶ浜字笹山ハ六</t>
  </si>
  <si>
    <t>七ヶ浜町松ヶ浜字西原六六</t>
  </si>
  <si>
    <t>七ヶ浜町松ヶ浜字神明裏三八</t>
  </si>
  <si>
    <t>七ヶ浜町松ヶ浜字笹山二－一</t>
  </si>
  <si>
    <t>七ヶ浜町松ヶ浜字浜屋敷七八-一</t>
  </si>
  <si>
    <t>七ヶ浜町松ヶ浜字浜屋敷二三</t>
  </si>
  <si>
    <t>七ヶ浜町松ヶ浜字浜屋敷二五</t>
  </si>
  <si>
    <t>七ヶ浜町松ヶ浜字浜屋敷九</t>
  </si>
  <si>
    <t>七ヶ浜町松ヶ浜字丸山二六-一</t>
  </si>
  <si>
    <t>七ヶ浜町松ヶ浜字浜屋敷二二</t>
  </si>
  <si>
    <t>七ヶ浜町湊浜字熊野四八-一</t>
  </si>
  <si>
    <t>七ヶ浜町松ヶ浜字折越一七-一</t>
  </si>
  <si>
    <t>松ヶ浜字謡三一番一謡児童遊園一-三号</t>
  </si>
  <si>
    <t>七ヶ浜町松ヶ浜字神明裏二四-二</t>
  </si>
  <si>
    <t>七ヶ浜町松ヶ浜字浜屋敷六四</t>
  </si>
  <si>
    <t>七ヶ浜町松ヶ浜字折越七</t>
  </si>
  <si>
    <t>仙台市宮城野区中野字田中九-一○二</t>
  </si>
  <si>
    <t>七ヶ浜町菖蒲田浜字宅地九四</t>
  </si>
  <si>
    <t>七ヶ浜町菖蒲田浜字宅地八三</t>
  </si>
  <si>
    <t>利府町神谷沢字金沢一二-二五九</t>
  </si>
  <si>
    <t>七ヶ浜町菖蒲田浜字宅地五九-一</t>
  </si>
  <si>
    <t>七ヶ浜町菖蒲田浜字宅地六六-一</t>
  </si>
  <si>
    <t>七ヶ浜町菖蒲田浜字宅地七四</t>
  </si>
  <si>
    <t>塩釜市千賀の台二丁目一一－二</t>
  </si>
  <si>
    <t>仙台市宮城野区田子一-一○-四五ＮＴＴ社宅二一五</t>
  </si>
  <si>
    <t>七ヶ浜町菖蒲田浜字東峠下二二</t>
  </si>
  <si>
    <t>七ヶ浜町菖蒲田浜字向山四六-二</t>
  </si>
  <si>
    <t>七ヶ浜町菖蒲田浜字宅地八五</t>
  </si>
  <si>
    <t>七ヶ浜町花渕浜字須賀二三-一</t>
  </si>
  <si>
    <t>七ヶ浜町菖蒲田浜字宅地二五</t>
  </si>
  <si>
    <t>七ヶ浜町菖蒲田浜字長砂十九－五</t>
  </si>
  <si>
    <t>七ヶ浜町菖蒲田浜字向山六〇-一</t>
  </si>
  <si>
    <t>七ヶ浜町菖蒲田浜字宅地六四</t>
  </si>
  <si>
    <t>七ヶ浜町松ヶ浜字神明裏六六-一</t>
  </si>
  <si>
    <t>仙台市宮城野区福室五丁目三ー二四レオパレストータス二○五号</t>
  </si>
  <si>
    <t>七ヶ浜町菖蒲田浜字韮ヶ森一四〇-三二</t>
  </si>
  <si>
    <t>七ヶ浜町菖蒲田浜字向山三六</t>
  </si>
  <si>
    <t>七ヶ浜町菖蒲田浜字久保一七〇</t>
  </si>
  <si>
    <t>七ヶ浜町菖蒲田浜字後田一四七-一</t>
  </si>
  <si>
    <t>七ヶ浜町菖蒲田浜字向山六〇-三</t>
  </si>
  <si>
    <t>七ヶ浜町菖蒲田浜字宅地五三</t>
  </si>
  <si>
    <t>七ヶ浜町菖蒲田浜字橋元二○-一</t>
  </si>
  <si>
    <t>七ヶ浜町菖蒲田浜字向山三五-四</t>
  </si>
  <si>
    <t>七ヶ浜町菖蒲田浜字宅地一〇一</t>
  </si>
  <si>
    <t>七ヶ浜町菖蒲田浜字浜伊場六二</t>
  </si>
  <si>
    <t>七ヶ浜町菖蒲田浜字長砂一九-一七</t>
  </si>
  <si>
    <t>七ヶ浜町菖蒲田浜字宅地六二</t>
  </si>
  <si>
    <t>七ヶ浜町菖蒲田浜字宅地四六</t>
  </si>
  <si>
    <t>七ヶ浜町菖蒲田浜字宅地八一</t>
  </si>
  <si>
    <t>七ヶ浜町菖蒲田浜字宅地六八</t>
  </si>
  <si>
    <t>七ヶ浜町菖蒲田浜字浜伊場一二</t>
  </si>
  <si>
    <t>七ヶ浜町菖蒲田浜字宅地一八</t>
  </si>
  <si>
    <t>七ヶ浜町花渕浜字長須賀四四-三</t>
  </si>
  <si>
    <t>七ヶ浜町花渕浜字浜沼一四-一一</t>
  </si>
  <si>
    <t>七ヶ浜町境山1丁目九-二一-一〇</t>
  </si>
  <si>
    <t>七ヶ浜町花渕浜字安場一-一・十六-一</t>
  </si>
  <si>
    <t>七ヶ浜町花渕浜字舘下六七ー一</t>
  </si>
  <si>
    <t>七ヶ浜町花渕浜字舘下七〇</t>
  </si>
  <si>
    <t>七ヶ浜町花渕浜字上清水沢二八ー二</t>
  </si>
  <si>
    <t>七ヶ浜町花渕浜字舘下三二-一</t>
  </si>
  <si>
    <t>七ヶ浜町花渕浜字舘下四八</t>
  </si>
  <si>
    <t>七ヶ浜町花渕浜字舘下五六</t>
  </si>
  <si>
    <t>七ヶ浜町花渕浜字舘下二九</t>
  </si>
  <si>
    <t>七ヶ浜町花渕浜字上ノ山四五-五</t>
  </si>
  <si>
    <t>七ヶ浜町花渕浜字安場五</t>
  </si>
  <si>
    <t>七ヶ浜町花渕浜字舘下三一</t>
  </si>
  <si>
    <t>七ヶ浜町花渕浜字観音堂五-九</t>
  </si>
  <si>
    <t>七ヶ浜町花渕浜字舘下三〇</t>
  </si>
  <si>
    <t>七ヶ浜町花渕浜字上清水沢二九ー二</t>
  </si>
  <si>
    <t>七ヶ浜町花渕浜字館下七一</t>
  </si>
  <si>
    <t>七ヶ浜町花渕浜字舘下五九-一</t>
  </si>
  <si>
    <t>七ヶ浜町花渕浜字寺坂一二</t>
  </si>
  <si>
    <t>七ヶ浜町吉田浜字寺山二-二</t>
  </si>
  <si>
    <t>七ヶ浜町花渕浜字上ノ山ハ〇-三</t>
  </si>
  <si>
    <t>七ヶ浜町花渕浜字上ノ山九二-一</t>
  </si>
  <si>
    <t>七ヶ浜町花渕浜字上ノ山二一</t>
  </si>
  <si>
    <t>七ヶ浜町吉田浜字浜屋敷五四</t>
  </si>
  <si>
    <t>七ヶ浜町吉田浜字宮前六五-四</t>
  </si>
  <si>
    <t>七ヶ浜町吉田浜字居久保五-一</t>
  </si>
  <si>
    <t>七ヶ浜町吉田浜字二月田一七-一</t>
  </si>
  <si>
    <t>七ヶ浜町吉田浜字野山一の二-一</t>
  </si>
  <si>
    <t>七ヶ浜町吉田浜字浜屋敷三六</t>
  </si>
  <si>
    <t>七ヶ浜町吉田浜字大豆沢七〇-二</t>
  </si>
  <si>
    <t>七ヶ浜町吉田浜字前塚四七-一</t>
  </si>
  <si>
    <t>七ヶ浜町花渕浜字上ノ山七八</t>
  </si>
  <si>
    <t>七ヶ浜町花渕浜字上ノ山七-二</t>
  </si>
  <si>
    <t>七ヶ浜町吉田浜字浜屋敷四五</t>
  </si>
  <si>
    <t>七ヶ浜町汐見台七-八-二○-二-三</t>
  </si>
  <si>
    <t>七ヶ浜町吉田浜字浜屋敷三四</t>
  </si>
  <si>
    <t>七ヶ浜町吉田浜字浜屋敷三九</t>
  </si>
  <si>
    <t>七ヶ浜町吉田浜字浜屋敷二六</t>
  </si>
  <si>
    <t>七ヶ浜町吉田浜字宮前六二-一</t>
  </si>
  <si>
    <t>七ヶ浜町吉田浜字宮前一二</t>
  </si>
  <si>
    <t>七ヶ浜町吉田浜字野山総合スポーツ広場七-六</t>
  </si>
  <si>
    <t>七ヶ浜町花渕浜字藤ヶ沢三三-一</t>
  </si>
  <si>
    <t>七ヶ浜町花渕浜字上ノ山ハ二</t>
  </si>
  <si>
    <t>七ヶ浜町吉田浜字上ノ台一一－一</t>
  </si>
  <si>
    <t>七ヶ浜町吉田浜字浜屋敷一五</t>
  </si>
  <si>
    <t>七ヶ浜町吉田浜字浜屋敷三八-一</t>
  </si>
  <si>
    <t>七ヶ浜町花渕浜字上ノ山七二-二</t>
  </si>
  <si>
    <t>七ヶ浜町代ヶ崎浜字清水一三</t>
  </si>
  <si>
    <t>七ヶ浜町代ヶ崎浜字清水一六-一</t>
  </si>
  <si>
    <t>七ヶ浜町代ヶ崎浜字清水一九</t>
  </si>
  <si>
    <t>七ヶ浜町代ヶ崎浜字向田四三-二</t>
  </si>
  <si>
    <t>仙台市幸町二-一一-二ノーブル幸町二○二号室</t>
  </si>
  <si>
    <t>七ヶ浜町代ヶ崎浜字峯五四ｰ八</t>
  </si>
  <si>
    <t>七ヶ浜町代ヶ崎浜字向田四七</t>
  </si>
  <si>
    <t>七ヶ浜町代ヶ崎浜字向田四四-七</t>
  </si>
  <si>
    <t>仙台市青葉区土樋一-一-二二プラウド青葉土樋八○一号</t>
  </si>
  <si>
    <t>七ヶ浜町代ヶ崎浜字向田四四-二</t>
  </si>
  <si>
    <t>七ヶ浜町代ヶ崎浜字向田四三-一</t>
  </si>
  <si>
    <t>七ヶ浜町境山二丁目一一-一○・一○一号</t>
  </si>
  <si>
    <t>七ヶ浜町代ヶ崎浜字西二一-三四</t>
  </si>
  <si>
    <t>七ヶ浜町代ヶ崎浜字向田五一</t>
  </si>
  <si>
    <t>七ヶ浜町代ヶ崎浜字向田五五-二</t>
  </si>
  <si>
    <t>七ヶ浜町代ヶ崎浜字清水六二-</t>
  </si>
  <si>
    <t>七ヶ浜町代ヶ崎浜字影田六-四</t>
  </si>
  <si>
    <t>七ヶ浜町代ヶ崎浜字向田四八</t>
  </si>
  <si>
    <t>七ヶ浜町代ヶ崎浜字向田四二-一</t>
  </si>
  <si>
    <t>七ヶ浜町代ヶ崎浜字向田四九-一</t>
  </si>
  <si>
    <t>七ヶ浜町代ヶ崎浜字八ヶ森三一</t>
  </si>
  <si>
    <t>七ヶ浜町代ヶ崎浜字向田四四-三</t>
  </si>
  <si>
    <t>七ヶ浜町代ヶ崎浜字向田四四－五</t>
  </si>
  <si>
    <t>七ヶ浜町代ヶ崎浜字立花三六</t>
  </si>
  <si>
    <t>七ヶ浜町代ヶ崎浜字清水六二-一五</t>
  </si>
  <si>
    <t>七ヶ浜町代ヶ崎浜字向田四二－七</t>
  </si>
  <si>
    <t>七ヶ浜町吉田浜字神明三〇</t>
  </si>
  <si>
    <t>七ヶ浜町代ヶ崎浜字影田三六-一</t>
  </si>
  <si>
    <t>七ヶ浜町東宮浜字鶴ヶ湊八一-三</t>
  </si>
  <si>
    <t>七ヶ浜町東宮浜字東兼田一〇-一</t>
  </si>
  <si>
    <t>七ヶ浜町東宮浜字穴切一○-一○</t>
  </si>
  <si>
    <t>七ヶ浜町東宮浜字西浦田一-一○</t>
  </si>
  <si>
    <t>七ヶ浜町東宮浜字鶴ヶ湊三三</t>
  </si>
  <si>
    <t>七ヶ浜町東宮浜字上ノ台七</t>
  </si>
  <si>
    <t>七ヶ浜町東宮浜字浜辺一七-三</t>
  </si>
  <si>
    <t>七ヶ浜町東宮浜字寺島二三</t>
  </si>
  <si>
    <t>七ヶ浜町東宮浜字鶴ヶ湊三五</t>
  </si>
  <si>
    <t>七ヶ浜町東宮浜字神明一八-一</t>
  </si>
  <si>
    <t>七ヶ浜町東宮浜字上ノ台五</t>
  </si>
  <si>
    <t>七ヶ浜町東宮浜字鶴ヶ湊七五-一</t>
  </si>
  <si>
    <t>七ヶ浜町東宮浜字寺島一六-一</t>
  </si>
  <si>
    <t>七ヶ浜町東宮浜字丑山一一-一</t>
  </si>
  <si>
    <t>七ヶ浜町東宮浜字浜辺五八-五</t>
  </si>
  <si>
    <t>七ヶ浜町東宮浜字神明八-一</t>
  </si>
  <si>
    <t>七ヶ浜町東宮浜字鶴ヶ湊六一</t>
  </si>
  <si>
    <t>七ヶ浜町東宮浜字要害一一-一</t>
  </si>
  <si>
    <t>七ヶ浜町東宮浜字要害三一</t>
  </si>
  <si>
    <t>七ヶ浜町東宮浜字小田二三-一</t>
  </si>
  <si>
    <t>七ヶ浜町東宮浜字要害二一</t>
  </si>
  <si>
    <t>七ヶ浜町東宮浜字小田二七-三</t>
  </si>
  <si>
    <t>七ヶ浜町東宮浜字要害一四</t>
  </si>
  <si>
    <t>七ヶ浜町東宮浜字兼田一一-三</t>
  </si>
  <si>
    <t>七ヶ浜町東宮浜字要害四</t>
  </si>
  <si>
    <t>七ヶ浜町東宮浜字吉子五六</t>
  </si>
  <si>
    <t>七ヶ浜町東宮浜字要害三三</t>
  </si>
  <si>
    <t>七ヶ浜町東宮浜字要害一七-二</t>
  </si>
  <si>
    <t>七ヶ浜町東宮浜字要害四七-一</t>
  </si>
  <si>
    <t>七ヶ浜町東宮浜字小畑二三</t>
  </si>
  <si>
    <t>七ヶ浜町花渕浜字舘下五○-三</t>
  </si>
  <si>
    <t>七ヶ浜町東宮浜字要害三二</t>
  </si>
  <si>
    <t>七ヶ浜町菖蒲田浜字宅地三九-三</t>
  </si>
  <si>
    <t>七ヶ浜町吉田浜字浜屋敷五六-二</t>
  </si>
  <si>
    <t>七ヶ浜町菖蒲田浜字宅地二六</t>
  </si>
  <si>
    <t>七ヶ浜町東宮浜字鶴ヶ湊二七-二</t>
  </si>
  <si>
    <t>七ヶ浜町松ヶ浜字浜屋敷四〇</t>
  </si>
  <si>
    <t>福鶴</t>
  </si>
  <si>
    <t>利府町加瀬字十三塚二-三</t>
  </si>
  <si>
    <t>野中二部</t>
  </si>
  <si>
    <t>多賀城市八幡三丁目六番四号</t>
  </si>
  <si>
    <t>八幡下二</t>
  </si>
  <si>
    <t>多賀城市八幡三丁目一二-二四</t>
  </si>
  <si>
    <t>八幡沖</t>
  </si>
  <si>
    <t>七ヶ浜町松ヶ浜字西原八四-二</t>
  </si>
  <si>
    <t>仙台市宮城野区蒲生字小田切二三〇</t>
  </si>
  <si>
    <t>南蒲生</t>
  </si>
  <si>
    <t>多賀城市大代五丁目九-三六</t>
  </si>
  <si>
    <t>大代</t>
  </si>
  <si>
    <t>七ヶ浜町花渕浜字舘下五八</t>
  </si>
  <si>
    <t>多賀城市八幡二丁目二〇-一七</t>
  </si>
  <si>
    <t>八幡上</t>
  </si>
  <si>
    <t>多賀城市八幡二丁目六-二〇</t>
  </si>
  <si>
    <t>八幡下一</t>
  </si>
  <si>
    <t>多賀城市八幡三丁目一六-八</t>
  </si>
  <si>
    <t>七ヶ浜町代ヶ崎浜字清水六</t>
  </si>
  <si>
    <t>仙台市宮城野区岩切字三所南二五</t>
  </si>
  <si>
    <t>今市下</t>
  </si>
  <si>
    <t>多賀城市大代六丁目五-一</t>
  </si>
  <si>
    <t>仙台市宮城野区中野字田中六</t>
  </si>
  <si>
    <t>出花</t>
  </si>
  <si>
    <t>仙台市青葉区国見五丁目一－二七－四○二</t>
  </si>
  <si>
    <t>七ヶ浜町花渕浜字舘下四六</t>
  </si>
  <si>
    <t>七ヶ浜町代ヶ崎浜字向田四二-五</t>
  </si>
  <si>
    <t>七ヶ浜町松ヶ浜字神明裏二九</t>
  </si>
  <si>
    <t>七ヶ浜町花渕浜字上清水沢二八-二</t>
  </si>
  <si>
    <t>七ヶ浜町松ヶ浜字神明裏一九-三</t>
  </si>
  <si>
    <t>七ヶ浜町吉田浜字大豆沢七〇-一</t>
  </si>
  <si>
    <t>七ヶ浜町花渕浜字舘下五五</t>
  </si>
  <si>
    <t>七ヶ浜町境山1丁目四-一〇</t>
  </si>
  <si>
    <t>仙台市若林区沖野一丁目二二-一一</t>
  </si>
  <si>
    <t>沖野</t>
  </si>
  <si>
    <t>仙台市宮城野区蒲生字屋敷四</t>
  </si>
  <si>
    <t>和田</t>
  </si>
  <si>
    <t>多賀城市大代六丁目五-二</t>
  </si>
  <si>
    <t>多賀城市八幡三丁目一一-一二</t>
  </si>
  <si>
    <t>多賀城市八幡四丁目七番五号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</si>
</sst>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172F-0AE7-4666-853D-5FCA4816B524}">
  <dimension ref="A1:N291"/>
  <sheetViews>
    <sheetView tabSelected="1" workbookViewId="0">
      <pane xSplit="2" ySplit="1" topLeftCell="C236" activePane="bottomRight" state="frozen"/>
      <selection pane="topRight" activeCell="B1" sqref="B1"/>
      <selection pane="bottomLeft" activeCell="A2" sqref="A2"/>
      <selection pane="bottomRight" activeCell="B253" sqref="B253"/>
    </sheetView>
  </sheetViews>
  <sheetFormatPr defaultRowHeight="18"/>
  <cols>
    <col min="3" max="3" width="14.33203125" bestFit="1" customWidth="1"/>
    <col min="4" max="4" width="30.4140625" bestFit="1" customWidth="1"/>
    <col min="5" max="5" width="63.5" bestFit="1" customWidth="1"/>
    <col min="6" max="6" width="11.4140625" customWidth="1"/>
    <col min="7" max="7" width="37.9140625" bestFit="1" customWidth="1"/>
  </cols>
  <sheetData>
    <row r="1" spans="1:10">
      <c r="A1" t="s">
        <v>662</v>
      </c>
      <c r="B1" t="s">
        <v>231</v>
      </c>
      <c r="C1" t="s">
        <v>0</v>
      </c>
      <c r="D1" t="s">
        <v>401</v>
      </c>
      <c r="E1" t="s">
        <v>248</v>
      </c>
      <c r="F1" t="s">
        <v>665</v>
      </c>
      <c r="G1" t="s">
        <v>688</v>
      </c>
      <c r="H1" t="s">
        <v>687</v>
      </c>
    </row>
    <row r="2" spans="1:10">
      <c r="A2" t="s">
        <v>666</v>
      </c>
      <c r="B2">
        <v>1</v>
      </c>
      <c r="C2" t="s">
        <v>1</v>
      </c>
      <c r="D2" t="s">
        <v>402</v>
      </c>
      <c r="E2" t="str">
        <f>_xlfn.XLOOKUP(C2, idつけ作業用!E$2:E$177, idつけ作業用!H$2:H$177, "")</f>
        <v>湊浜二丁目９番地の１</v>
      </c>
      <c r="F2" t="s">
        <v>668</v>
      </c>
      <c r="G2" t="s">
        <v>719</v>
      </c>
      <c r="H2" t="s">
        <v>668</v>
      </c>
    </row>
    <row r="3" spans="1:10">
      <c r="A3" t="s">
        <v>666</v>
      </c>
      <c r="B3">
        <v>2</v>
      </c>
      <c r="C3" t="s">
        <v>2</v>
      </c>
      <c r="D3" t="s">
        <v>403</v>
      </c>
      <c r="E3" t="str">
        <f>_xlfn.XLOOKUP(C3, idつけ作業用!E$2:E$177, idつけ作業用!H$2:H$177, "")</f>
        <v>湊浜一丁目４番地の４</v>
      </c>
      <c r="F3" t="s">
        <v>668</v>
      </c>
      <c r="G3" t="s">
        <v>720</v>
      </c>
      <c r="H3" t="s">
        <v>668</v>
      </c>
    </row>
    <row r="4" spans="1:10">
      <c r="A4" t="s">
        <v>666</v>
      </c>
      <c r="B4">
        <v>3</v>
      </c>
      <c r="C4" t="s">
        <v>3</v>
      </c>
      <c r="D4" t="s">
        <v>404</v>
      </c>
      <c r="E4" t="str">
        <f>_xlfn.XLOOKUP(C4, idつけ作業用!E$2:E$177, idつけ作業用!H$2:H$177, "")</f>
        <v>湊浜一丁目５番地の３</v>
      </c>
      <c r="F4" t="s">
        <v>668</v>
      </c>
      <c r="G4" t="s">
        <v>721</v>
      </c>
      <c r="H4" t="s">
        <v>668</v>
      </c>
      <c r="J4" t="s">
        <v>680</v>
      </c>
    </row>
    <row r="5" spans="1:10">
      <c r="A5" t="s">
        <v>666</v>
      </c>
      <c r="B5">
        <v>4</v>
      </c>
      <c r="C5" t="s">
        <v>4</v>
      </c>
      <c r="D5" t="s">
        <v>405</v>
      </c>
      <c r="E5" t="str">
        <f>_xlfn.XLOOKUP(C5, idつけ作業用!E$2:E$177, idつけ作業用!H$2:H$177, "")</f>
        <v>湊浜一丁目３番地の１０</v>
      </c>
      <c r="F5" t="s">
        <v>669</v>
      </c>
      <c r="G5" t="s">
        <v>669</v>
      </c>
      <c r="H5" t="s">
        <v>669</v>
      </c>
    </row>
    <row r="6" spans="1:10">
      <c r="A6" t="s">
        <v>666</v>
      </c>
      <c r="B6">
        <v>5</v>
      </c>
      <c r="C6" t="s">
        <v>5</v>
      </c>
      <c r="D6" t="s">
        <v>406</v>
      </c>
      <c r="E6" t="str">
        <f>_xlfn.XLOOKUP(C6, idつけ作業用!E$2:E$177, idつけ作業用!H$2:H$177, "")</f>
        <v>湊浜字熊野１０番地の１</v>
      </c>
      <c r="F6" t="s">
        <v>668</v>
      </c>
      <c r="G6" t="s">
        <v>722</v>
      </c>
      <c r="H6" t="s">
        <v>668</v>
      </c>
    </row>
    <row r="7" spans="1:10">
      <c r="A7" t="s">
        <v>666</v>
      </c>
      <c r="B7">
        <v>6</v>
      </c>
      <c r="C7" t="s">
        <v>6</v>
      </c>
      <c r="D7" t="s">
        <v>407</v>
      </c>
      <c r="E7" t="str">
        <f>_xlfn.XLOOKUP(C7, idつけ作業用!E$2:E$177, idつけ作業用!H$2:H$177, "")</f>
        <v>湊浜字砂山２２番地</v>
      </c>
      <c r="F7" t="s">
        <v>668</v>
      </c>
      <c r="G7" t="s">
        <v>723</v>
      </c>
      <c r="H7" t="s">
        <v>668</v>
      </c>
    </row>
    <row r="8" spans="1:10">
      <c r="A8" t="s">
        <v>666</v>
      </c>
      <c r="B8">
        <v>7</v>
      </c>
      <c r="C8" t="s">
        <v>7</v>
      </c>
      <c r="D8" t="s">
        <v>408</v>
      </c>
      <c r="E8" t="str">
        <f>_xlfn.XLOOKUP(C8, idつけ作業用!E$2:E$177, idつけ作業用!H$2:H$177, "")</f>
        <v>松ヶ浜字神明前１３番地</v>
      </c>
      <c r="F8" t="s">
        <v>670</v>
      </c>
      <c r="G8" t="s">
        <v>724</v>
      </c>
      <c r="H8" t="s">
        <v>670</v>
      </c>
    </row>
    <row r="9" spans="1:10">
      <c r="A9" t="s">
        <v>666</v>
      </c>
      <c r="B9">
        <v>8</v>
      </c>
      <c r="C9" t="s">
        <v>8</v>
      </c>
      <c r="D9" t="s">
        <v>409</v>
      </c>
      <c r="E9" t="str">
        <f>_xlfn.XLOOKUP(C9, idつけ作業用!E$2:E$177, idつけ作業用!H$2:H$177, "")</f>
        <v>松ヶ浜字浜屋敷３３番地の１</v>
      </c>
      <c r="F9" t="s">
        <v>670</v>
      </c>
      <c r="G9" t="s">
        <v>725</v>
      </c>
      <c r="H9" t="s">
        <v>670</v>
      </c>
    </row>
    <row r="10" spans="1:10">
      <c r="A10" t="s">
        <v>666</v>
      </c>
      <c r="B10">
        <v>9</v>
      </c>
      <c r="C10" t="s">
        <v>9</v>
      </c>
      <c r="D10" t="s">
        <v>410</v>
      </c>
      <c r="E10" t="str">
        <f>_xlfn.XLOOKUP(C10, idつけ作業用!E$2:E$177, idつけ作業用!H$2:H$177, "")</f>
        <v>松ヶ浜字浜屋敷４５番地の１</v>
      </c>
      <c r="F10" t="s">
        <v>670</v>
      </c>
      <c r="G10" t="s">
        <v>726</v>
      </c>
      <c r="H10" t="s">
        <v>670</v>
      </c>
    </row>
    <row r="11" spans="1:10">
      <c r="A11" t="s">
        <v>666</v>
      </c>
      <c r="B11">
        <v>10</v>
      </c>
      <c r="C11" t="s">
        <v>10</v>
      </c>
      <c r="D11" t="s">
        <v>411</v>
      </c>
      <c r="E11" t="str">
        <f>_xlfn.XLOOKUP(C11, idつけ作業用!E$2:E$177, idつけ作業用!H$2:H$177, "")</f>
        <v>七ヶ浜町吉田浜字野山１番地の２七ヶ浜第１スポーツ広場応急仮設住宅</v>
      </c>
      <c r="F11" t="s">
        <v>670</v>
      </c>
      <c r="G11" t="s">
        <v>727</v>
      </c>
      <c r="H11" t="s">
        <v>670</v>
      </c>
    </row>
    <row r="12" spans="1:10">
      <c r="A12" t="s">
        <v>666</v>
      </c>
      <c r="B12">
        <v>11</v>
      </c>
      <c r="C12" t="s">
        <v>11</v>
      </c>
      <c r="D12" t="s">
        <v>412</v>
      </c>
      <c r="E12" t="str">
        <f>_xlfn.XLOOKUP(C12, idつけ作業用!E$2:E$177, idつけ作業用!H$2:H$177, "")</f>
        <v>松ヶ浜字長根６－１</v>
      </c>
      <c r="F12" t="s">
        <v>670</v>
      </c>
      <c r="G12" t="s">
        <v>728</v>
      </c>
      <c r="H12" t="s">
        <v>670</v>
      </c>
    </row>
    <row r="13" spans="1:10">
      <c r="A13" t="s">
        <v>666</v>
      </c>
      <c r="B13">
        <v>12</v>
      </c>
      <c r="C13" t="s">
        <v>12</v>
      </c>
      <c r="D13" t="s">
        <v>413</v>
      </c>
      <c r="E13" t="str">
        <f>_xlfn.XLOOKUP(C13, idつけ作業用!E$2:E$177, idつけ作業用!H$2:H$177, "")</f>
        <v>松ヶ浜字謡３６番地の１２</v>
      </c>
      <c r="F13" t="s">
        <v>670</v>
      </c>
      <c r="G13" t="s">
        <v>729</v>
      </c>
      <c r="H13" t="s">
        <v>670</v>
      </c>
    </row>
    <row r="14" spans="1:10">
      <c r="A14" t="s">
        <v>666</v>
      </c>
      <c r="B14">
        <v>13</v>
      </c>
      <c r="C14" t="s">
        <v>13</v>
      </c>
      <c r="D14" t="s">
        <v>414</v>
      </c>
      <c r="E14" t="str">
        <f>_xlfn.XLOOKUP(C14, idつけ作業用!E$2:E$177, idつけ作業用!H$2:H$177, "")</f>
        <v>松ヶ浜字坂口３４番地の１</v>
      </c>
      <c r="F14" t="s">
        <v>670</v>
      </c>
      <c r="G14" t="s">
        <v>730</v>
      </c>
      <c r="H14" t="s">
        <v>670</v>
      </c>
    </row>
    <row r="15" spans="1:10">
      <c r="A15" t="s">
        <v>666</v>
      </c>
      <c r="B15">
        <v>14</v>
      </c>
      <c r="C15" t="s">
        <v>14</v>
      </c>
      <c r="D15" t="s">
        <v>415</v>
      </c>
      <c r="E15" t="str">
        <f>_xlfn.XLOOKUP(C15, idつけ作業用!E$2:E$177, idつけ作業用!H$2:H$177, "")</f>
        <v>松ヶ浜字浜屋敷８５番地</v>
      </c>
      <c r="F15" t="s">
        <v>669</v>
      </c>
      <c r="G15" t="s">
        <v>731</v>
      </c>
      <c r="H15" t="s">
        <v>670</v>
      </c>
    </row>
    <row r="16" spans="1:10">
      <c r="A16" t="s">
        <v>666</v>
      </c>
      <c r="B16">
        <v>15</v>
      </c>
      <c r="C16" t="s">
        <v>15</v>
      </c>
      <c r="D16" t="s">
        <v>416</v>
      </c>
      <c r="E16" t="str">
        <f>_xlfn.XLOOKUP(C16, idつけ作業用!E$2:E$177, idつけ作業用!H$2:H$177, "")</f>
        <v>松ヶ浜字謡３３番地の７</v>
      </c>
      <c r="F16" t="s">
        <v>670</v>
      </c>
      <c r="G16" t="s">
        <v>732</v>
      </c>
      <c r="H16" t="s">
        <v>670</v>
      </c>
    </row>
    <row r="17" spans="1:8">
      <c r="A17" t="s">
        <v>666</v>
      </c>
      <c r="B17">
        <v>16</v>
      </c>
      <c r="C17" t="s">
        <v>16</v>
      </c>
      <c r="D17" t="s">
        <v>417</v>
      </c>
      <c r="E17" t="str">
        <f>_xlfn.XLOOKUP(C17, idつけ作業用!E$2:E$177, idつけ作業用!H$2:H$177, "")</f>
        <v/>
      </c>
      <c r="F17" t="s">
        <v>670</v>
      </c>
      <c r="G17" t="s">
        <v>733</v>
      </c>
      <c r="H17" t="s">
        <v>670</v>
      </c>
    </row>
    <row r="18" spans="1:8">
      <c r="A18" t="s">
        <v>666</v>
      </c>
      <c r="B18">
        <v>17</v>
      </c>
      <c r="C18" t="s">
        <v>17</v>
      </c>
      <c r="D18" t="s">
        <v>418</v>
      </c>
      <c r="E18" t="str">
        <f>_xlfn.XLOOKUP(C18, idつけ作業用!E$2:E$177, idつけ作業用!H$2:H$177, "")</f>
        <v>松ヶ浜字神明裏４８番地の２</v>
      </c>
      <c r="F18" t="s">
        <v>670</v>
      </c>
      <c r="G18" t="s">
        <v>734</v>
      </c>
      <c r="H18" t="s">
        <v>670</v>
      </c>
    </row>
    <row r="19" spans="1:8">
      <c r="A19" t="s">
        <v>666</v>
      </c>
      <c r="B19">
        <v>18</v>
      </c>
      <c r="C19" t="s">
        <v>18</v>
      </c>
      <c r="D19" t="s">
        <v>419</v>
      </c>
      <c r="E19" t="str">
        <f>_xlfn.XLOOKUP(C19, idつけ作業用!E$2:E$177, idつけ作業用!H$2:H$177, "")</f>
        <v>松ヶ浜字神明前２番地の３</v>
      </c>
      <c r="F19" t="s">
        <v>670</v>
      </c>
      <c r="G19" t="s">
        <v>735</v>
      </c>
      <c r="H19" t="s">
        <v>670</v>
      </c>
    </row>
    <row r="20" spans="1:8">
      <c r="A20" t="s">
        <v>666</v>
      </c>
      <c r="B20">
        <v>19</v>
      </c>
      <c r="C20" t="s">
        <v>19</v>
      </c>
      <c r="D20" t="s">
        <v>420</v>
      </c>
      <c r="E20" t="str">
        <f>_xlfn.XLOOKUP(C20, idつけ作業用!E$2:E$177, idつけ作業用!H$2:H$177, "")</f>
        <v>松ヶ浜字西沢田８０番地</v>
      </c>
      <c r="F20" t="s">
        <v>670</v>
      </c>
      <c r="G20" t="s">
        <v>681</v>
      </c>
      <c r="H20" t="s">
        <v>670</v>
      </c>
    </row>
    <row r="21" spans="1:8">
      <c r="A21" t="s">
        <v>666</v>
      </c>
      <c r="B21">
        <v>20</v>
      </c>
      <c r="C21" t="s">
        <v>20</v>
      </c>
      <c r="D21" t="s">
        <v>421</v>
      </c>
      <c r="E21" t="str">
        <f>_xlfn.XLOOKUP(C21, idつけ作業用!E$2:E$177, idつけ作業用!H$2:H$177, "")</f>
        <v>松ヶ浜字西原６番地の１</v>
      </c>
      <c r="F21" t="s">
        <v>670</v>
      </c>
      <c r="G21" t="s">
        <v>736</v>
      </c>
      <c r="H21" t="s">
        <v>670</v>
      </c>
    </row>
    <row r="22" spans="1:8">
      <c r="A22" t="s">
        <v>666</v>
      </c>
      <c r="B22">
        <v>21</v>
      </c>
      <c r="C22" t="s">
        <v>21</v>
      </c>
      <c r="D22" t="s">
        <v>422</v>
      </c>
      <c r="E22" t="str">
        <f>_xlfn.XLOOKUP(C22, idつけ作業用!E$2:E$177, idつけ作業用!H$2:H$177, "")</f>
        <v>松ヶ浜字西沢田９６番地の１</v>
      </c>
      <c r="F22" t="s">
        <v>669</v>
      </c>
      <c r="G22" t="s">
        <v>669</v>
      </c>
      <c r="H22" t="s">
        <v>669</v>
      </c>
    </row>
    <row r="23" spans="1:8">
      <c r="A23" t="s">
        <v>666</v>
      </c>
      <c r="B23">
        <v>22</v>
      </c>
      <c r="C23" t="s">
        <v>22</v>
      </c>
      <c r="D23" t="s">
        <v>423</v>
      </c>
      <c r="E23" t="str">
        <f>_xlfn.XLOOKUP(C23, idつけ作業用!E$2:E$177, idつけ作業用!H$2:H$177, "")</f>
        <v>松ヶ浜字浜屋敷６番地</v>
      </c>
      <c r="F23" t="s">
        <v>670</v>
      </c>
      <c r="G23" t="s">
        <v>737</v>
      </c>
      <c r="H23" t="s">
        <v>670</v>
      </c>
    </row>
    <row r="24" spans="1:8">
      <c r="A24" t="s">
        <v>666</v>
      </c>
      <c r="B24">
        <v>23</v>
      </c>
      <c r="C24" t="s">
        <v>23</v>
      </c>
      <c r="D24" t="s">
        <v>424</v>
      </c>
      <c r="E24" t="str">
        <f>_xlfn.XLOOKUP(C24, idつけ作業用!E$2:E$177, idつけ作業用!H$2:H$177, "")</f>
        <v>松ヶ浜字神明裏４７番地の１</v>
      </c>
      <c r="F24" t="s">
        <v>670</v>
      </c>
      <c r="G24" t="s">
        <v>738</v>
      </c>
      <c r="H24" t="s">
        <v>670</v>
      </c>
    </row>
    <row r="25" spans="1:8">
      <c r="A25" t="s">
        <v>666</v>
      </c>
      <c r="B25">
        <v>24</v>
      </c>
      <c r="C25" t="s">
        <v>24</v>
      </c>
      <c r="D25" t="s">
        <v>425</v>
      </c>
      <c r="E25" t="str">
        <f>_xlfn.XLOOKUP(C25, idつけ作業用!E$2:E$177, idつけ作業用!H$2:H$177, "")</f>
        <v/>
      </c>
      <c r="F25" t="s">
        <v>670</v>
      </c>
      <c r="G25" t="s">
        <v>739</v>
      </c>
      <c r="H25" t="s">
        <v>670</v>
      </c>
    </row>
    <row r="26" spans="1:8">
      <c r="A26" t="s">
        <v>666</v>
      </c>
      <c r="B26">
        <v>25</v>
      </c>
      <c r="C26" t="s">
        <v>25</v>
      </c>
      <c r="D26" t="s">
        <v>426</v>
      </c>
      <c r="E26" t="str">
        <f>_xlfn.XLOOKUP(C26, idつけ作業用!E$2:E$177, idつけ作業用!H$2:H$177, "")</f>
        <v>松ヶ浜字長根１番地の３</v>
      </c>
      <c r="F26" t="s">
        <v>670</v>
      </c>
      <c r="G26" t="s">
        <v>740</v>
      </c>
      <c r="H26" t="s">
        <v>670</v>
      </c>
    </row>
    <row r="27" spans="1:8">
      <c r="A27" t="s">
        <v>666</v>
      </c>
      <c r="B27">
        <v>26</v>
      </c>
      <c r="C27" t="s">
        <v>26</v>
      </c>
      <c r="D27" t="s">
        <v>427</v>
      </c>
      <c r="E27" t="str">
        <f>_xlfn.XLOOKUP(C27, idつけ作業用!E$2:E$177, idつけ作業用!H$2:H$177, "")</f>
        <v>湊浜字砂山２６－１</v>
      </c>
      <c r="F27" t="s">
        <v>669</v>
      </c>
      <c r="G27" t="s">
        <v>741</v>
      </c>
      <c r="H27" t="s">
        <v>670</v>
      </c>
    </row>
    <row r="28" spans="1:8">
      <c r="A28" t="s">
        <v>666</v>
      </c>
      <c r="B28">
        <v>27</v>
      </c>
      <c r="C28" t="s">
        <v>27</v>
      </c>
      <c r="D28" t="s">
        <v>428</v>
      </c>
      <c r="E28" t="str">
        <f>_xlfn.XLOOKUP(C28, idつけ作業用!E$2:E$177, idつけ作業用!H$2:H$177, "")</f>
        <v>松ヶ浜字神明裏３番地の１</v>
      </c>
      <c r="F28" t="s">
        <v>669</v>
      </c>
      <c r="G28" t="s">
        <v>669</v>
      </c>
      <c r="H28" t="s">
        <v>669</v>
      </c>
    </row>
    <row r="29" spans="1:8">
      <c r="A29" t="s">
        <v>666</v>
      </c>
      <c r="B29">
        <v>28</v>
      </c>
      <c r="C29" t="s">
        <v>28</v>
      </c>
      <c r="D29" t="s">
        <v>429</v>
      </c>
      <c r="E29" t="str">
        <f>_xlfn.XLOOKUP(C29, idつけ作業用!E$2:E$177, idつけ作業用!H$2:H$177, "")</f>
        <v>松ヶ浜字謡２２番地の５</v>
      </c>
      <c r="F29" t="s">
        <v>669</v>
      </c>
      <c r="G29" t="s">
        <v>669</v>
      </c>
      <c r="H29" t="s">
        <v>669</v>
      </c>
    </row>
    <row r="30" spans="1:8">
      <c r="A30" t="s">
        <v>666</v>
      </c>
      <c r="B30">
        <v>29</v>
      </c>
      <c r="C30" t="s">
        <v>29</v>
      </c>
      <c r="D30" t="s">
        <v>430</v>
      </c>
      <c r="E30" t="str">
        <f>_xlfn.XLOOKUP(C30, idつけ作業用!E$2:E$177, idつけ作業用!H$2:H$177, "")</f>
        <v/>
      </c>
      <c r="F30" t="s">
        <v>669</v>
      </c>
      <c r="G30" t="s">
        <v>742</v>
      </c>
      <c r="H30" t="s">
        <v>670</v>
      </c>
    </row>
    <row r="31" spans="1:8">
      <c r="A31" t="s">
        <v>666</v>
      </c>
      <c r="B31">
        <v>30</v>
      </c>
      <c r="C31" t="s">
        <v>30</v>
      </c>
      <c r="D31" t="s">
        <v>431</v>
      </c>
      <c r="E31" t="str">
        <f>_xlfn.XLOOKUP(C31, idつけ作業用!E$2:E$177, idつけ作業用!H$2:H$177, "")</f>
        <v>松ヶ浜字西原６６番地</v>
      </c>
      <c r="F31" t="s">
        <v>670</v>
      </c>
      <c r="G31" t="s">
        <v>743</v>
      </c>
      <c r="H31" t="s">
        <v>670</v>
      </c>
    </row>
    <row r="32" spans="1:8">
      <c r="A32" t="s">
        <v>666</v>
      </c>
      <c r="B32">
        <v>31</v>
      </c>
      <c r="C32" t="s">
        <v>31</v>
      </c>
      <c r="D32" t="s">
        <v>432</v>
      </c>
      <c r="E32" t="str">
        <f>_xlfn.XLOOKUP(C32, idつけ作業用!E$2:E$177, idつけ作業用!H$2:H$177, "")</f>
        <v/>
      </c>
      <c r="F32" t="s">
        <v>669</v>
      </c>
      <c r="G32" t="s">
        <v>669</v>
      </c>
      <c r="H32" t="s">
        <v>669</v>
      </c>
    </row>
    <row r="33" spans="1:8">
      <c r="A33" t="s">
        <v>666</v>
      </c>
      <c r="B33">
        <v>32</v>
      </c>
      <c r="C33" t="s">
        <v>32</v>
      </c>
      <c r="D33" t="s">
        <v>433</v>
      </c>
      <c r="E33" t="str">
        <f>_xlfn.XLOOKUP(C33, idつけ作業用!E$2:E$177, idつけ作業用!H$2:H$177, "")</f>
        <v>松ヶ浜字神明裏３８番地</v>
      </c>
      <c r="F33" t="s">
        <v>670</v>
      </c>
      <c r="G33" t="s">
        <v>744</v>
      </c>
      <c r="H33" t="s">
        <v>670</v>
      </c>
    </row>
    <row r="34" spans="1:8">
      <c r="A34" t="s">
        <v>666</v>
      </c>
      <c r="B34">
        <v>33</v>
      </c>
      <c r="C34" t="s">
        <v>33</v>
      </c>
      <c r="D34" t="s">
        <v>434</v>
      </c>
      <c r="E34" t="str">
        <f>_xlfn.XLOOKUP(C34, idつけ作業用!E$2:E$177, idつけ作業用!H$2:H$177, "")</f>
        <v/>
      </c>
      <c r="F34" t="s">
        <v>670</v>
      </c>
      <c r="G34" t="s">
        <v>745</v>
      </c>
      <c r="H34" t="s">
        <v>670</v>
      </c>
    </row>
    <row r="35" spans="1:8">
      <c r="A35" t="s">
        <v>666</v>
      </c>
      <c r="B35">
        <v>34</v>
      </c>
      <c r="C35" t="s">
        <v>34</v>
      </c>
      <c r="D35" t="s">
        <v>435</v>
      </c>
      <c r="E35" t="str">
        <f>_xlfn.XLOOKUP(C35, idつけ作業用!E$2:E$177, idつけ作業用!H$2:H$177, "")</f>
        <v>松ヶ浜字浜屋敷７８番地の１</v>
      </c>
      <c r="F35" t="s">
        <v>669</v>
      </c>
      <c r="G35" t="s">
        <v>746</v>
      </c>
      <c r="H35" t="s">
        <v>670</v>
      </c>
    </row>
    <row r="36" spans="1:8">
      <c r="A36" t="s">
        <v>666</v>
      </c>
      <c r="B36">
        <v>35</v>
      </c>
      <c r="C36" t="s">
        <v>35</v>
      </c>
      <c r="D36" t="s">
        <v>436</v>
      </c>
      <c r="E36" t="str">
        <f>_xlfn.XLOOKUP(C36, idつけ作業用!E$2:E$177, idつけ作業用!H$2:H$177, "")</f>
        <v>松ヶ浜字浜屋敷２３番地</v>
      </c>
      <c r="F36" t="s">
        <v>670</v>
      </c>
      <c r="G36" t="s">
        <v>747</v>
      </c>
      <c r="H36" t="s">
        <v>670</v>
      </c>
    </row>
    <row r="37" spans="1:8">
      <c r="A37" t="s">
        <v>666</v>
      </c>
      <c r="B37">
        <v>36</v>
      </c>
      <c r="C37" t="s">
        <v>36</v>
      </c>
      <c r="D37" t="s">
        <v>437</v>
      </c>
      <c r="E37" t="str">
        <f>_xlfn.XLOOKUP(C37, idつけ作業用!E$2:E$177, idつけ作業用!H$2:H$177, "")</f>
        <v>松ヶ浜字浜屋敷２５番地</v>
      </c>
      <c r="F37" t="s">
        <v>670</v>
      </c>
      <c r="G37" t="s">
        <v>748</v>
      </c>
      <c r="H37" t="s">
        <v>670</v>
      </c>
    </row>
    <row r="38" spans="1:8">
      <c r="A38" t="s">
        <v>666</v>
      </c>
      <c r="B38">
        <v>37</v>
      </c>
      <c r="C38" t="s">
        <v>37</v>
      </c>
      <c r="D38" t="s">
        <v>438</v>
      </c>
      <c r="E38" t="str">
        <f>_xlfn.XLOOKUP(C38, idつけ作業用!E$2:E$177, idつけ作業用!H$2:H$177, "")</f>
        <v>松ヶ浜字浜屋敷９番地</v>
      </c>
      <c r="F38" t="s">
        <v>670</v>
      </c>
      <c r="G38" t="s">
        <v>749</v>
      </c>
      <c r="H38" t="s">
        <v>670</v>
      </c>
    </row>
    <row r="39" spans="1:8">
      <c r="A39" t="s">
        <v>666</v>
      </c>
      <c r="B39">
        <v>38</v>
      </c>
      <c r="C39" t="s">
        <v>38</v>
      </c>
      <c r="D39" t="s">
        <v>439</v>
      </c>
      <c r="E39" t="str">
        <f>_xlfn.XLOOKUP(C39, idつけ作業用!E$2:E$177, idつけ作業用!H$2:H$177, "")</f>
        <v>松ヶ浜字丸山２６番地の１</v>
      </c>
      <c r="F39" t="s">
        <v>670</v>
      </c>
      <c r="G39" t="s">
        <v>750</v>
      </c>
      <c r="H39" t="s">
        <v>670</v>
      </c>
    </row>
    <row r="40" spans="1:8">
      <c r="A40" t="s">
        <v>666</v>
      </c>
      <c r="B40">
        <v>39</v>
      </c>
      <c r="C40" t="s">
        <v>39</v>
      </c>
      <c r="D40" t="s">
        <v>440</v>
      </c>
      <c r="E40" t="str">
        <f>_xlfn.XLOOKUP(C40, idつけ作業用!E$2:E$177, idつけ作業用!H$2:H$177, "")</f>
        <v>松ヶ浜字浜屋敷２２番地</v>
      </c>
      <c r="F40" t="s">
        <v>670</v>
      </c>
      <c r="G40" t="s">
        <v>751</v>
      </c>
      <c r="H40" t="s">
        <v>670</v>
      </c>
    </row>
    <row r="41" spans="1:8">
      <c r="A41" t="s">
        <v>666</v>
      </c>
      <c r="B41">
        <v>40</v>
      </c>
      <c r="C41" t="s">
        <v>40</v>
      </c>
      <c r="D41" t="s">
        <v>441</v>
      </c>
      <c r="E41" t="str">
        <f>_xlfn.XLOOKUP(C41, idつけ作業用!E$2:E$177, idつけ作業用!H$2:H$177, "")</f>
        <v>湊浜字熊野４８－１</v>
      </c>
      <c r="F41" t="s">
        <v>670</v>
      </c>
      <c r="G41" t="s">
        <v>752</v>
      </c>
      <c r="H41" t="s">
        <v>670</v>
      </c>
    </row>
    <row r="42" spans="1:8">
      <c r="A42" t="s">
        <v>666</v>
      </c>
      <c r="B42">
        <v>41</v>
      </c>
      <c r="C42" t="s">
        <v>41</v>
      </c>
      <c r="D42" t="s">
        <v>442</v>
      </c>
      <c r="E42" t="str">
        <f>_xlfn.XLOOKUP(C42, idつけ作業用!E$2:E$177, idつけ作業用!H$2:H$177, "")</f>
        <v>松ヶ浜字神明裏３０</v>
      </c>
      <c r="F42" t="s">
        <v>669</v>
      </c>
      <c r="G42" t="s">
        <v>669</v>
      </c>
      <c r="H42" t="s">
        <v>669</v>
      </c>
    </row>
    <row r="43" spans="1:8">
      <c r="A43" t="s">
        <v>666</v>
      </c>
      <c r="B43">
        <v>42</v>
      </c>
      <c r="C43" t="s">
        <v>42</v>
      </c>
      <c r="D43" t="s">
        <v>443</v>
      </c>
      <c r="E43" t="str">
        <f>_xlfn.XLOOKUP(C43, idつけ作業用!E$2:E$177, idつけ作業用!H$2:H$177, "")</f>
        <v/>
      </c>
      <c r="F43" t="s">
        <v>670</v>
      </c>
      <c r="G43" t="s">
        <v>753</v>
      </c>
      <c r="H43" t="s">
        <v>670</v>
      </c>
    </row>
    <row r="44" spans="1:8">
      <c r="A44" t="s">
        <v>666</v>
      </c>
      <c r="B44">
        <v>43</v>
      </c>
      <c r="C44" t="s">
        <v>43</v>
      </c>
      <c r="D44" t="s">
        <v>444</v>
      </c>
      <c r="E44" t="str">
        <f>_xlfn.XLOOKUP(C44, idつけ作業用!E$2:E$177, idつけ作業用!H$2:H$177, "")</f>
        <v/>
      </c>
      <c r="F44" t="s">
        <v>669</v>
      </c>
      <c r="G44" t="s">
        <v>669</v>
      </c>
      <c r="H44" t="s">
        <v>669</v>
      </c>
    </row>
    <row r="45" spans="1:8">
      <c r="A45" t="s">
        <v>666</v>
      </c>
      <c r="B45">
        <v>44</v>
      </c>
      <c r="C45" t="s">
        <v>44</v>
      </c>
      <c r="D45" t="s">
        <v>445</v>
      </c>
      <c r="E45" t="str">
        <f>_xlfn.XLOOKUP(C45, idつけ作業用!E$2:E$177, idつけ作業用!H$2:H$177, "")</f>
        <v>七ヶ浜町松ヶ浜字謡３１番地の１謡児童遊園応急仮設住宅全壊</v>
      </c>
      <c r="F45" t="s">
        <v>670</v>
      </c>
      <c r="G45" t="s">
        <v>754</v>
      </c>
      <c r="H45" t="s">
        <v>670</v>
      </c>
    </row>
    <row r="46" spans="1:8">
      <c r="A46" t="s">
        <v>666</v>
      </c>
      <c r="B46">
        <v>45</v>
      </c>
      <c r="C46" t="s">
        <v>45</v>
      </c>
      <c r="D46" t="s">
        <v>446</v>
      </c>
      <c r="E46" t="str">
        <f>_xlfn.XLOOKUP(C46, idつけ作業用!E$2:E$177, idつけ作業用!H$2:H$177, "")</f>
        <v>松ヶ浜字神明裏２４番地の２</v>
      </c>
      <c r="F46" t="s">
        <v>670</v>
      </c>
      <c r="G46" t="s">
        <v>755</v>
      </c>
      <c r="H46" t="s">
        <v>670</v>
      </c>
    </row>
    <row r="47" spans="1:8">
      <c r="A47" t="s">
        <v>666</v>
      </c>
      <c r="B47">
        <v>46</v>
      </c>
      <c r="C47" t="s">
        <v>46</v>
      </c>
      <c r="D47" t="s">
        <v>447</v>
      </c>
      <c r="E47" t="str">
        <f>_xlfn.XLOOKUP(C47, idつけ作業用!E$2:E$177, idつけ作業用!H$2:H$177, "")</f>
        <v>松ヶ浜字浜屋敷６４</v>
      </c>
      <c r="F47" t="s">
        <v>670</v>
      </c>
      <c r="G47" t="s">
        <v>756</v>
      </c>
      <c r="H47" t="s">
        <v>670</v>
      </c>
    </row>
    <row r="48" spans="1:8">
      <c r="A48" t="s">
        <v>666</v>
      </c>
      <c r="B48">
        <v>47</v>
      </c>
      <c r="C48" t="s">
        <v>47</v>
      </c>
      <c r="D48" t="s">
        <v>448</v>
      </c>
      <c r="E48" t="str">
        <f>_xlfn.XLOOKUP(C48, idつけ作業用!E$2:E$177, idつけ作業用!H$2:H$177, "")</f>
        <v>松ヶ浜字笹山１３番地</v>
      </c>
      <c r="F48" t="s">
        <v>669</v>
      </c>
      <c r="G48" t="s">
        <v>669</v>
      </c>
      <c r="H48" t="s">
        <v>669</v>
      </c>
    </row>
    <row r="49" spans="1:8">
      <c r="A49" t="s">
        <v>666</v>
      </c>
      <c r="B49">
        <v>48</v>
      </c>
      <c r="C49" t="s">
        <v>48</v>
      </c>
      <c r="D49" t="s">
        <v>449</v>
      </c>
      <c r="E49" t="str">
        <f>_xlfn.XLOOKUP(C49, idつけ作業用!E$2:E$177, idつけ作業用!H$2:H$177, "")</f>
        <v>松ヶ浜字折越７番地</v>
      </c>
      <c r="F49" t="s">
        <v>670</v>
      </c>
      <c r="G49" t="s">
        <v>757</v>
      </c>
      <c r="H49" t="s">
        <v>670</v>
      </c>
    </row>
    <row r="50" spans="1:8">
      <c r="A50" t="s">
        <v>666</v>
      </c>
      <c r="B50">
        <v>49</v>
      </c>
      <c r="C50" t="s">
        <v>49</v>
      </c>
      <c r="D50" t="s">
        <v>450</v>
      </c>
      <c r="E50" t="str">
        <f>_xlfn.XLOOKUP(C50, idつけ作業用!E$2:E$177, idつけ作業用!H$2:H$177, "")</f>
        <v>仙台市宮城野区中野字田中９フルハウス１０２</v>
      </c>
      <c r="F50" t="s">
        <v>670</v>
      </c>
      <c r="G50" t="s">
        <v>758</v>
      </c>
      <c r="H50" t="s">
        <v>670</v>
      </c>
    </row>
    <row r="51" spans="1:8">
      <c r="A51" t="s">
        <v>666</v>
      </c>
      <c r="B51">
        <v>50</v>
      </c>
      <c r="C51" t="s">
        <v>50</v>
      </c>
      <c r="D51" t="s">
        <v>451</v>
      </c>
      <c r="E51" t="str">
        <f>_xlfn.XLOOKUP(C51, idつけ作業用!E$2:E$177, idつけ作業用!H$2:H$177, "")</f>
        <v>菖蒲田浜字宅地９４番地</v>
      </c>
      <c r="F51" t="s">
        <v>671</v>
      </c>
      <c r="G51" t="s">
        <v>759</v>
      </c>
      <c r="H51" t="s">
        <v>671</v>
      </c>
    </row>
    <row r="52" spans="1:8">
      <c r="A52" t="s">
        <v>666</v>
      </c>
      <c r="B52">
        <v>51</v>
      </c>
      <c r="C52" t="s">
        <v>51</v>
      </c>
      <c r="D52" t="s">
        <v>452</v>
      </c>
      <c r="E52" t="str">
        <f>_xlfn.XLOOKUP(C52, idつけ作業用!E$2:E$177, idつけ作業用!H$2:H$177, "")</f>
        <v>菖蒲田浜字宅地８３番地</v>
      </c>
      <c r="F52" t="s">
        <v>671</v>
      </c>
      <c r="G52" t="s">
        <v>760</v>
      </c>
      <c r="H52" t="s">
        <v>671</v>
      </c>
    </row>
    <row r="53" spans="1:8">
      <c r="A53" t="s">
        <v>666</v>
      </c>
      <c r="B53">
        <v>52</v>
      </c>
      <c r="C53" t="s">
        <v>52</v>
      </c>
      <c r="D53" t="s">
        <v>453</v>
      </c>
      <c r="E53" t="str">
        <f>_xlfn.XLOOKUP(C53, idつけ作業用!E$2:E$177, idつけ作業用!H$2:H$177, "")</f>
        <v>七ヶ浜町湊浜二丁目１０番地の１湊浜二丁目応急仮設住宅</v>
      </c>
      <c r="F53" t="s">
        <v>671</v>
      </c>
      <c r="G53" t="s">
        <v>689</v>
      </c>
      <c r="H53" t="s">
        <v>671</v>
      </c>
    </row>
    <row r="54" spans="1:8">
      <c r="A54" t="s">
        <v>666</v>
      </c>
      <c r="B54">
        <v>53</v>
      </c>
      <c r="C54" t="s">
        <v>53</v>
      </c>
      <c r="D54" t="s">
        <v>454</v>
      </c>
      <c r="E54" t="str">
        <f>_xlfn.XLOOKUP(C54, idつけ作業用!E$2:E$177, idつけ作業用!H$2:H$177, "")</f>
        <v>仙台市青葉区東照宮１丁目８－１東照の丘８０３号室</v>
      </c>
      <c r="F54" t="s">
        <v>669</v>
      </c>
      <c r="G54" t="s">
        <v>669</v>
      </c>
      <c r="H54" t="s">
        <v>669</v>
      </c>
    </row>
    <row r="55" spans="1:8">
      <c r="A55" t="s">
        <v>666</v>
      </c>
      <c r="B55">
        <v>54</v>
      </c>
      <c r="C55" t="s">
        <v>54</v>
      </c>
      <c r="D55" t="s">
        <v>455</v>
      </c>
      <c r="E55" t="str">
        <f>_xlfn.XLOOKUP(C55, idつけ作業用!E$2:E$177, idつけ作業用!H$2:H$177, "")</f>
        <v>茨城県日立市神峰町４丁目６番１４号</v>
      </c>
      <c r="F55" t="s">
        <v>669</v>
      </c>
      <c r="G55" t="s">
        <v>669</v>
      </c>
      <c r="H55" t="s">
        <v>669</v>
      </c>
    </row>
    <row r="56" spans="1:8">
      <c r="A56" t="s">
        <v>666</v>
      </c>
      <c r="B56">
        <v>55</v>
      </c>
      <c r="C56" t="s">
        <v>55</v>
      </c>
      <c r="D56" t="s">
        <v>456</v>
      </c>
      <c r="E56" t="str">
        <f>_xlfn.XLOOKUP(C56, idつけ作業用!E$2:E$177, idつけ作業用!H$2:H$177, "")</f>
        <v>七ヶ浜町花渕浜字笹山１５番地の４１国際村第２駐車場応急仮設住宅</v>
      </c>
      <c r="F56" t="s">
        <v>669</v>
      </c>
      <c r="G56" t="s">
        <v>669</v>
      </c>
      <c r="H56" t="s">
        <v>669</v>
      </c>
    </row>
    <row r="57" spans="1:8">
      <c r="A57" t="s">
        <v>666</v>
      </c>
      <c r="B57">
        <v>56</v>
      </c>
      <c r="C57" t="s">
        <v>56</v>
      </c>
      <c r="D57" t="s">
        <v>457</v>
      </c>
      <c r="E57" t="str">
        <f>_xlfn.XLOOKUP(C57, idつけ作業用!E$2:E$177, idつけ作業用!H$2:H$177, "")</f>
        <v>七ヶ浜町吉田浜字野山５番地の９野外活動センター応急仮設住宅</v>
      </c>
      <c r="F57" t="s">
        <v>671</v>
      </c>
      <c r="G57" t="s">
        <v>690</v>
      </c>
      <c r="H57" t="s">
        <v>671</v>
      </c>
    </row>
    <row r="58" spans="1:8">
      <c r="A58" t="s">
        <v>666</v>
      </c>
      <c r="B58">
        <v>57</v>
      </c>
      <c r="C58" t="s">
        <v>57</v>
      </c>
      <c r="D58" t="s">
        <v>458</v>
      </c>
      <c r="E58" t="str">
        <f>_xlfn.XLOOKUP(C58, idつけ作業用!E$2:E$177, idつけ作業用!H$2:H$177, "")</f>
        <v>菖蒲田浜字東峠下３９－１</v>
      </c>
      <c r="F58" t="s">
        <v>672</v>
      </c>
      <c r="G58" t="s">
        <v>761</v>
      </c>
      <c r="H58" t="s">
        <v>686</v>
      </c>
    </row>
    <row r="59" spans="1:8">
      <c r="A59" t="s">
        <v>666</v>
      </c>
      <c r="B59">
        <v>58</v>
      </c>
      <c r="C59" t="s">
        <v>58</v>
      </c>
      <c r="D59" t="s">
        <v>459</v>
      </c>
      <c r="E59" t="str">
        <f>_xlfn.XLOOKUP(C59, idつけ作業用!E$2:E$177, idつけ作業用!H$2:H$177, "")</f>
        <v/>
      </c>
      <c r="F59" t="s">
        <v>669</v>
      </c>
      <c r="G59" t="s">
        <v>669</v>
      </c>
      <c r="H59" t="s">
        <v>669</v>
      </c>
    </row>
    <row r="60" spans="1:8">
      <c r="A60" t="s">
        <v>666</v>
      </c>
      <c r="B60">
        <v>59</v>
      </c>
      <c r="C60" t="s">
        <v>59</v>
      </c>
      <c r="D60" t="s">
        <v>460</v>
      </c>
      <c r="E60" t="str">
        <f>_xlfn.XLOOKUP(C60, idつけ作業用!E$2:E$177, idつけ作業用!H$2:H$177, "")</f>
        <v/>
      </c>
      <c r="F60" t="s">
        <v>669</v>
      </c>
      <c r="G60" t="s">
        <v>669</v>
      </c>
      <c r="H60" t="s">
        <v>669</v>
      </c>
    </row>
    <row r="61" spans="1:8">
      <c r="A61" t="s">
        <v>666</v>
      </c>
      <c r="B61">
        <v>60</v>
      </c>
      <c r="C61" t="s">
        <v>60</v>
      </c>
      <c r="D61" t="s">
        <v>461</v>
      </c>
      <c r="E61" t="str">
        <f>_xlfn.XLOOKUP(C61, idつけ作業用!E$2:E$177, idつけ作業用!H$2:H$177, "")</f>
        <v>塩竃市玉川３丁目１０－３６飯田様方</v>
      </c>
      <c r="F61" t="s">
        <v>671</v>
      </c>
      <c r="G61" t="s">
        <v>762</v>
      </c>
      <c r="H61" t="s">
        <v>671</v>
      </c>
    </row>
    <row r="62" spans="1:8">
      <c r="A62" t="s">
        <v>666</v>
      </c>
      <c r="B62">
        <v>61</v>
      </c>
      <c r="C62" t="s">
        <v>61</v>
      </c>
      <c r="D62" t="s">
        <v>462</v>
      </c>
      <c r="E62" t="str">
        <f>_xlfn.XLOOKUP(C62, idつけ作業用!E$2:E$177, idつけ作業用!H$2:H$177, "")</f>
        <v/>
      </c>
      <c r="F62" t="s">
        <v>671</v>
      </c>
      <c r="G62" t="s">
        <v>763</v>
      </c>
      <c r="H62" t="s">
        <v>671</v>
      </c>
    </row>
    <row r="63" spans="1:8">
      <c r="A63" t="s">
        <v>666</v>
      </c>
      <c r="B63">
        <v>62</v>
      </c>
      <c r="C63" t="s">
        <v>62</v>
      </c>
      <c r="D63" t="s">
        <v>463</v>
      </c>
      <c r="E63" t="str">
        <f>_xlfn.XLOOKUP(C63, idつけ作業用!E$2:E$177, idつけ作業用!H$2:H$177, "")</f>
        <v>七ヶ浜町吉田浜字野山１番地の２七ヶ浜第１スポーツ広場応急仮設住宅</v>
      </c>
      <c r="F63" t="s">
        <v>671</v>
      </c>
      <c r="G63" t="s">
        <v>764</v>
      </c>
      <c r="H63" t="s">
        <v>671</v>
      </c>
    </row>
    <row r="64" spans="1:8">
      <c r="A64" t="s">
        <v>666</v>
      </c>
      <c r="B64">
        <v>63</v>
      </c>
      <c r="C64" t="s">
        <v>63</v>
      </c>
      <c r="D64" t="s">
        <v>464</v>
      </c>
      <c r="E64" t="str">
        <f>_xlfn.XLOOKUP(C64, idつけ作業用!E$2:E$177, idつけ作業用!H$2:H$177, "")</f>
        <v/>
      </c>
      <c r="F64" t="s">
        <v>669</v>
      </c>
      <c r="G64" t="s">
        <v>765</v>
      </c>
      <c r="H64" t="s">
        <v>671</v>
      </c>
    </row>
    <row r="65" spans="1:14">
      <c r="A65" t="s">
        <v>666</v>
      </c>
      <c r="B65">
        <v>64</v>
      </c>
      <c r="C65" t="s">
        <v>64</v>
      </c>
      <c r="D65" t="s">
        <v>465</v>
      </c>
      <c r="E65" t="str">
        <f>_xlfn.XLOOKUP(C65, idつけ作業用!E$2:E$177, idつけ作業用!H$2:H$177, "")</f>
        <v>仙台市宮城野区田子１－１０－４５ＮＴＴ社宅２１５号</v>
      </c>
      <c r="F65" t="s">
        <v>671</v>
      </c>
      <c r="G65" t="s">
        <v>766</v>
      </c>
      <c r="H65" t="s">
        <v>671</v>
      </c>
    </row>
    <row r="66" spans="1:14">
      <c r="A66" t="s">
        <v>666</v>
      </c>
      <c r="B66">
        <v>65</v>
      </c>
      <c r="C66" t="s">
        <v>65</v>
      </c>
      <c r="D66" t="s">
        <v>466</v>
      </c>
      <c r="E66" t="str">
        <f>_xlfn.XLOOKUP(C66, idつけ作業用!E$2:E$177, idつけ作業用!H$2:H$177, "")</f>
        <v/>
      </c>
      <c r="F66" t="s">
        <v>671</v>
      </c>
      <c r="G66" t="s">
        <v>767</v>
      </c>
      <c r="H66" t="s">
        <v>671</v>
      </c>
    </row>
    <row r="67" spans="1:14">
      <c r="A67" t="s">
        <v>666</v>
      </c>
      <c r="B67">
        <v>66</v>
      </c>
      <c r="C67" t="s">
        <v>66</v>
      </c>
      <c r="D67" t="s">
        <v>467</v>
      </c>
      <c r="E67" t="str">
        <f>_xlfn.XLOOKUP(C67, idつけ作業用!E$2:E$177, idつけ作業用!H$2:H$177, "")</f>
        <v>汐見台５丁目２－６８</v>
      </c>
      <c r="F67" t="s">
        <v>671</v>
      </c>
      <c r="G67" t="s">
        <v>768</v>
      </c>
      <c r="H67" t="s">
        <v>671</v>
      </c>
    </row>
    <row r="68" spans="1:14">
      <c r="A68" t="s">
        <v>666</v>
      </c>
      <c r="B68">
        <v>67</v>
      </c>
      <c r="C68" t="s">
        <v>67</v>
      </c>
      <c r="D68" t="s">
        <v>468</v>
      </c>
      <c r="E68" t="str">
        <f>_xlfn.XLOOKUP(C68, idつけ作業用!E$2:E$177, idつけ作業用!H$2:H$177, "")</f>
        <v>菖蒲田浜字宅地８５番地</v>
      </c>
      <c r="F68" t="s">
        <v>671</v>
      </c>
      <c r="G68" t="s">
        <v>769</v>
      </c>
      <c r="H68" t="s">
        <v>671</v>
      </c>
    </row>
    <row r="69" spans="1:14">
      <c r="A69" t="s">
        <v>666</v>
      </c>
      <c r="B69">
        <v>68</v>
      </c>
      <c r="C69" t="s">
        <v>68</v>
      </c>
      <c r="D69" t="s">
        <v>469</v>
      </c>
      <c r="E69" t="str">
        <f>_xlfn.XLOOKUP(C69, idつけ作業用!E$2:E$177, idつけ作業用!H$2:H$177, "")</f>
        <v/>
      </c>
      <c r="F69" t="s">
        <v>669</v>
      </c>
      <c r="G69" t="s">
        <v>770</v>
      </c>
      <c r="H69" t="s">
        <v>671</v>
      </c>
    </row>
    <row r="70" spans="1:14">
      <c r="A70" t="s">
        <v>666</v>
      </c>
      <c r="B70">
        <v>69</v>
      </c>
      <c r="C70" t="s">
        <v>69</v>
      </c>
      <c r="D70" t="s">
        <v>470</v>
      </c>
      <c r="E70" t="str">
        <f>_xlfn.XLOOKUP(C70, idつけ作業用!E$2:E$177, idつけ作業用!H$2:H$177, "")</f>
        <v/>
      </c>
      <c r="F70" t="s">
        <v>669</v>
      </c>
      <c r="G70" t="s">
        <v>771</v>
      </c>
      <c r="H70" t="s">
        <v>671</v>
      </c>
    </row>
    <row r="71" spans="1:14">
      <c r="A71" t="s">
        <v>666</v>
      </c>
      <c r="B71">
        <v>70</v>
      </c>
      <c r="C71" t="s">
        <v>70</v>
      </c>
      <c r="D71" t="s">
        <v>471</v>
      </c>
      <c r="E71" t="str">
        <f>_xlfn.XLOOKUP(C71, idつけ作業用!E$2:E$177, idつけ作業用!H$2:H$177, "")</f>
        <v/>
      </c>
      <c r="F71" t="s">
        <v>669</v>
      </c>
      <c r="G71" t="s">
        <v>669</v>
      </c>
      <c r="H71" t="s">
        <v>669</v>
      </c>
    </row>
    <row r="72" spans="1:14">
      <c r="A72" t="s">
        <v>666</v>
      </c>
      <c r="B72">
        <v>71</v>
      </c>
      <c r="C72" t="s">
        <v>71</v>
      </c>
      <c r="D72" t="s">
        <v>472</v>
      </c>
      <c r="E72" t="str">
        <f>_xlfn.XLOOKUP(C72, idつけ作業用!E$2:E$177, idつけ作業用!H$2:H$177, "")</f>
        <v>花渕浜字長須賀４５－１</v>
      </c>
      <c r="F72" t="s">
        <v>671</v>
      </c>
      <c r="G72" t="s">
        <v>691</v>
      </c>
      <c r="H72" t="s">
        <v>671</v>
      </c>
    </row>
    <row r="73" spans="1:14">
      <c r="A73" t="s">
        <v>666</v>
      </c>
      <c r="B73">
        <v>72</v>
      </c>
      <c r="C73" t="s">
        <v>72</v>
      </c>
      <c r="D73" t="s">
        <v>473</v>
      </c>
      <c r="E73" t="str">
        <f>_xlfn.XLOOKUP(C73, idつけ作業用!E$2:E$177, idつけ作業用!H$2:H$177, "")</f>
        <v/>
      </c>
      <c r="F73" t="s">
        <v>671</v>
      </c>
      <c r="G73" t="s">
        <v>772</v>
      </c>
      <c r="H73" t="s">
        <v>671</v>
      </c>
    </row>
    <row r="74" spans="1:14">
      <c r="A74" t="s">
        <v>666</v>
      </c>
      <c r="B74">
        <v>73</v>
      </c>
      <c r="C74" t="s">
        <v>73</v>
      </c>
      <c r="D74" t="s">
        <v>474</v>
      </c>
      <c r="E74" t="str">
        <f>_xlfn.XLOOKUP(C74, idつけ作業用!E$2:E$177, idつけ作業用!H$2:H$177, "")</f>
        <v>菖蒲田浜字向山６０番地の１</v>
      </c>
      <c r="F74" t="s">
        <v>671</v>
      </c>
      <c r="G74" t="s">
        <v>773</v>
      </c>
      <c r="H74" t="s">
        <v>671</v>
      </c>
    </row>
    <row r="75" spans="1:14">
      <c r="A75" t="s">
        <v>666</v>
      </c>
      <c r="B75">
        <v>74</v>
      </c>
      <c r="C75" t="s">
        <v>74</v>
      </c>
      <c r="D75" t="s">
        <v>475</v>
      </c>
      <c r="E75" t="str">
        <f>_xlfn.XLOOKUP(C75, idつけ作業用!E$2:E$177, idつけ作業用!H$2:H$177, "")</f>
        <v>七ヶ浜町吉田浜字野山５番地の９野外活動センター応急仮設住宅</v>
      </c>
      <c r="F75" t="s">
        <v>671</v>
      </c>
      <c r="G75" t="s">
        <v>774</v>
      </c>
      <c r="H75" t="s">
        <v>671</v>
      </c>
      <c r="N75" t="s">
        <v>716</v>
      </c>
    </row>
    <row r="76" spans="1:14">
      <c r="A76" t="s">
        <v>666</v>
      </c>
      <c r="B76">
        <v>75</v>
      </c>
      <c r="C76" t="s">
        <v>75</v>
      </c>
      <c r="D76" t="s">
        <v>476</v>
      </c>
      <c r="E76" t="str">
        <f>_xlfn.XLOOKUP(C76, idつけ作業用!E$2:E$177, idつけ作業用!H$2:H$177, "")</f>
        <v>松ヶ浜字神明裏６６番地の１</v>
      </c>
      <c r="F76" t="s">
        <v>669</v>
      </c>
      <c r="G76" t="s">
        <v>775</v>
      </c>
      <c r="H76" t="s">
        <v>671</v>
      </c>
    </row>
    <row r="77" spans="1:14">
      <c r="A77" t="s">
        <v>666</v>
      </c>
      <c r="B77">
        <v>76</v>
      </c>
      <c r="C77" t="s">
        <v>76</v>
      </c>
      <c r="D77" t="s">
        <v>477</v>
      </c>
      <c r="E77" t="str">
        <f>_xlfn.XLOOKUP(C77, idつけ作業用!E$2:E$177, idつけ作業用!H$2:H$177, "")</f>
        <v/>
      </c>
      <c r="F77" t="s">
        <v>669</v>
      </c>
      <c r="G77" t="s">
        <v>776</v>
      </c>
      <c r="H77" t="s">
        <v>671</v>
      </c>
    </row>
    <row r="78" spans="1:14">
      <c r="A78" t="s">
        <v>666</v>
      </c>
      <c r="B78">
        <v>77</v>
      </c>
      <c r="C78" t="s">
        <v>77</v>
      </c>
      <c r="D78" t="s">
        <v>478</v>
      </c>
      <c r="E78" t="str">
        <f>_xlfn.XLOOKUP(C78, idつけ作業用!E$2:E$177, idつけ作業用!H$2:H$177, "")</f>
        <v>菖蒲田浜字韮ヶ森１４０番地の３２</v>
      </c>
      <c r="F78" t="s">
        <v>671</v>
      </c>
      <c r="G78" t="s">
        <v>777</v>
      </c>
      <c r="H78" t="s">
        <v>671</v>
      </c>
    </row>
    <row r="79" spans="1:14">
      <c r="A79" t="s">
        <v>666</v>
      </c>
      <c r="B79">
        <v>78</v>
      </c>
      <c r="C79" t="s">
        <v>78</v>
      </c>
      <c r="D79" t="s">
        <v>479</v>
      </c>
      <c r="E79" t="str">
        <f>_xlfn.XLOOKUP(C79, idつけ作業用!E$2:E$177, idつけ作業用!H$2:H$177, "")</f>
        <v>菖蒲田浜字向山３６番地</v>
      </c>
      <c r="F79" t="s">
        <v>671</v>
      </c>
      <c r="G79" t="s">
        <v>778</v>
      </c>
      <c r="H79" t="s">
        <v>671</v>
      </c>
    </row>
    <row r="80" spans="1:14">
      <c r="A80" t="s">
        <v>666</v>
      </c>
      <c r="B80">
        <v>79</v>
      </c>
      <c r="C80" t="s">
        <v>79</v>
      </c>
      <c r="D80" t="s">
        <v>480</v>
      </c>
      <c r="E80" t="str">
        <f>_xlfn.XLOOKUP(C80, idつけ作業用!E$2:E$177, idつけ作業用!H$2:H$177, "")</f>
        <v>菖蒲田浜字久保１７０番地</v>
      </c>
      <c r="F80" t="s">
        <v>671</v>
      </c>
      <c r="G80" t="s">
        <v>779</v>
      </c>
      <c r="H80" t="s">
        <v>671</v>
      </c>
    </row>
    <row r="81" spans="1:8">
      <c r="A81" t="s">
        <v>666</v>
      </c>
      <c r="B81">
        <v>80</v>
      </c>
      <c r="C81" t="s">
        <v>80</v>
      </c>
      <c r="D81" t="s">
        <v>481</v>
      </c>
      <c r="E81" t="str">
        <f>_xlfn.XLOOKUP(C81, idつけ作業用!E$2:E$177, idつけ作業用!H$2:H$177, "")</f>
        <v/>
      </c>
      <c r="F81" t="s">
        <v>669</v>
      </c>
      <c r="G81" t="s">
        <v>669</v>
      </c>
      <c r="H81" t="s">
        <v>669</v>
      </c>
    </row>
    <row r="82" spans="1:8">
      <c r="A82" t="s">
        <v>666</v>
      </c>
      <c r="B82">
        <v>81</v>
      </c>
      <c r="C82" t="s">
        <v>81</v>
      </c>
      <c r="D82" t="s">
        <v>482</v>
      </c>
      <c r="E82" t="str">
        <f>_xlfn.XLOOKUP(C82, idつけ作業用!E$2:E$177, idつけ作業用!H$2:H$177, "")</f>
        <v/>
      </c>
      <c r="F82" t="s">
        <v>669</v>
      </c>
      <c r="G82" t="s">
        <v>780</v>
      </c>
      <c r="H82" t="s">
        <v>671</v>
      </c>
    </row>
    <row r="83" spans="1:8">
      <c r="A83" t="s">
        <v>666</v>
      </c>
      <c r="B83">
        <v>82</v>
      </c>
      <c r="C83" t="s">
        <v>82</v>
      </c>
      <c r="D83" t="s">
        <v>483</v>
      </c>
      <c r="E83" t="str">
        <f>_xlfn.XLOOKUP(C83, idつけ作業用!E$2:E$177, idつけ作業用!H$2:H$177, "")</f>
        <v>菖蒲田浜字向山６０番地の３</v>
      </c>
      <c r="F83" t="s">
        <v>671</v>
      </c>
      <c r="G83" t="s">
        <v>781</v>
      </c>
      <c r="H83" t="s">
        <v>671</v>
      </c>
    </row>
    <row r="84" spans="1:8">
      <c r="A84" t="s">
        <v>666</v>
      </c>
      <c r="B84">
        <v>83</v>
      </c>
      <c r="C84" t="s">
        <v>83</v>
      </c>
      <c r="D84" t="s">
        <v>484</v>
      </c>
      <c r="E84" t="str">
        <f>_xlfn.XLOOKUP(C84, idつけ作業用!E$2:E$177, idつけ作業用!H$2:H$177, "")</f>
        <v/>
      </c>
      <c r="F84" t="s">
        <v>669</v>
      </c>
      <c r="G84" t="s">
        <v>782</v>
      </c>
      <c r="H84" t="s">
        <v>671</v>
      </c>
    </row>
    <row r="85" spans="1:8">
      <c r="A85" t="s">
        <v>666</v>
      </c>
      <c r="B85">
        <v>84</v>
      </c>
      <c r="C85" t="s">
        <v>84</v>
      </c>
      <c r="D85" t="s">
        <v>485</v>
      </c>
      <c r="E85" t="str">
        <f>_xlfn.XLOOKUP(C85, idつけ作業用!E$2:E$177, idつけ作業用!H$2:H$177, "")</f>
        <v/>
      </c>
      <c r="F85" t="s">
        <v>669</v>
      </c>
      <c r="G85" t="s">
        <v>783</v>
      </c>
      <c r="H85" t="s">
        <v>671</v>
      </c>
    </row>
    <row r="86" spans="1:8">
      <c r="A86" t="s">
        <v>666</v>
      </c>
      <c r="B86">
        <v>85</v>
      </c>
      <c r="C86" t="s">
        <v>85</v>
      </c>
      <c r="D86" t="s">
        <v>484</v>
      </c>
      <c r="E86" t="str">
        <f>_xlfn.XLOOKUP(C86, idつけ作業用!E$2:E$177, idつけ作業用!H$2:H$177, "")</f>
        <v/>
      </c>
      <c r="F86" t="s">
        <v>669</v>
      </c>
      <c r="G86" t="s">
        <v>782</v>
      </c>
      <c r="H86" t="s">
        <v>671</v>
      </c>
    </row>
    <row r="87" spans="1:8">
      <c r="A87" t="s">
        <v>666</v>
      </c>
      <c r="B87">
        <v>86</v>
      </c>
      <c r="C87" t="s">
        <v>86</v>
      </c>
      <c r="D87" t="s">
        <v>486</v>
      </c>
      <c r="E87" t="str">
        <f>_xlfn.XLOOKUP(C87, idつけ作業用!E$2:E$177, idつけ作業用!H$2:H$177, "")</f>
        <v/>
      </c>
      <c r="F87" t="s">
        <v>671</v>
      </c>
      <c r="G87" t="s">
        <v>784</v>
      </c>
      <c r="H87" t="s">
        <v>671</v>
      </c>
    </row>
    <row r="88" spans="1:8">
      <c r="A88" t="s">
        <v>666</v>
      </c>
      <c r="B88">
        <v>87</v>
      </c>
      <c r="C88" t="s">
        <v>87</v>
      </c>
      <c r="D88" t="s">
        <v>487</v>
      </c>
      <c r="E88" t="str">
        <f>_xlfn.XLOOKUP(C88, idつけ作業用!E$2:E$177, idつけ作業用!H$2:H$177, "")</f>
        <v/>
      </c>
      <c r="F88" t="s">
        <v>669</v>
      </c>
      <c r="G88" t="s">
        <v>785</v>
      </c>
      <c r="H88" t="s">
        <v>671</v>
      </c>
    </row>
    <row r="89" spans="1:8">
      <c r="A89" t="s">
        <v>666</v>
      </c>
      <c r="B89">
        <v>88</v>
      </c>
      <c r="C89" t="s">
        <v>88</v>
      </c>
      <c r="D89" t="s">
        <v>488</v>
      </c>
      <c r="E89" t="str">
        <f>_xlfn.XLOOKUP(C89, idつけ作業用!E$2:E$177, idつけ作業用!H$2:H$177, "")</f>
        <v>菖蒲田浜字一本松２番地</v>
      </c>
      <c r="F89" t="s">
        <v>671</v>
      </c>
      <c r="G89" t="s">
        <v>786</v>
      </c>
      <c r="H89" t="s">
        <v>671</v>
      </c>
    </row>
    <row r="90" spans="1:8">
      <c r="A90" t="s">
        <v>666</v>
      </c>
      <c r="B90">
        <v>89</v>
      </c>
      <c r="C90" t="s">
        <v>89</v>
      </c>
      <c r="D90" t="s">
        <v>489</v>
      </c>
      <c r="E90" t="str">
        <f>_xlfn.XLOOKUP(C90, idつけ作業用!E$2:E$177, idつけ作業用!H$2:H$177, "")</f>
        <v/>
      </c>
      <c r="F90" t="s">
        <v>669</v>
      </c>
      <c r="G90" t="s">
        <v>787</v>
      </c>
      <c r="H90" t="s">
        <v>671</v>
      </c>
    </row>
    <row r="91" spans="1:8">
      <c r="A91" t="s">
        <v>666</v>
      </c>
      <c r="B91">
        <v>90</v>
      </c>
      <c r="C91" t="s">
        <v>90</v>
      </c>
      <c r="D91" t="s">
        <v>490</v>
      </c>
      <c r="E91" t="str">
        <f>_xlfn.XLOOKUP(C91, idつけ作業用!E$2:E$177, idつけ作業用!H$2:H$177, "")</f>
        <v>七ヶ浜町湊浜二丁目１０番地の１湊浜二丁目応急仮設住宅</v>
      </c>
      <c r="F91" t="s">
        <v>671</v>
      </c>
      <c r="G91" t="s">
        <v>788</v>
      </c>
      <c r="H91" t="s">
        <v>671</v>
      </c>
    </row>
    <row r="92" spans="1:8">
      <c r="A92" t="s">
        <v>666</v>
      </c>
      <c r="B92">
        <v>91</v>
      </c>
      <c r="C92" t="s">
        <v>91</v>
      </c>
      <c r="D92" t="s">
        <v>491</v>
      </c>
      <c r="E92" t="str">
        <f>_xlfn.XLOOKUP(C92, idつけ作業用!E$2:E$177, idつけ作業用!H$2:H$177, "")</f>
        <v/>
      </c>
      <c r="F92" t="s">
        <v>669</v>
      </c>
      <c r="G92" t="s">
        <v>789</v>
      </c>
      <c r="H92" t="s">
        <v>671</v>
      </c>
    </row>
    <row r="93" spans="1:8">
      <c r="A93" t="s">
        <v>666</v>
      </c>
      <c r="B93">
        <v>92</v>
      </c>
      <c r="C93" t="s">
        <v>92</v>
      </c>
      <c r="D93" t="s">
        <v>492</v>
      </c>
      <c r="E93" t="str">
        <f>_xlfn.XLOOKUP(C93, idつけ作業用!E$2:E$177, idつけ作業用!H$2:H$177, "")</f>
        <v/>
      </c>
      <c r="F93" t="s">
        <v>669</v>
      </c>
      <c r="G93" t="s">
        <v>669</v>
      </c>
      <c r="H93" t="s">
        <v>669</v>
      </c>
    </row>
    <row r="94" spans="1:8">
      <c r="A94" t="s">
        <v>666</v>
      </c>
      <c r="B94">
        <v>93</v>
      </c>
      <c r="C94" t="s">
        <v>93</v>
      </c>
      <c r="D94" t="s">
        <v>493</v>
      </c>
      <c r="E94" t="str">
        <f>_xlfn.XLOOKUP(C94, idつけ作業用!E$2:E$177, idつけ作業用!H$2:H$177, "")</f>
        <v>菖蒲田浜字宅地９７</v>
      </c>
      <c r="F94" t="s">
        <v>671</v>
      </c>
      <c r="G94" t="s">
        <v>692</v>
      </c>
      <c r="H94" t="s">
        <v>671</v>
      </c>
    </row>
    <row r="95" spans="1:8">
      <c r="A95" t="s">
        <v>666</v>
      </c>
      <c r="B95">
        <v>94</v>
      </c>
      <c r="C95" t="s">
        <v>94</v>
      </c>
      <c r="D95" t="s">
        <v>494</v>
      </c>
      <c r="E95" t="str">
        <f>_xlfn.XLOOKUP(C95, idつけ作業用!E$2:E$177, idつけ作業用!H$2:H$177, "")</f>
        <v>七ヶ浜町吉田浜字野山５番地の９野外活動センター応急仮設住宅</v>
      </c>
      <c r="F95" t="s">
        <v>671</v>
      </c>
      <c r="G95" t="s">
        <v>790</v>
      </c>
      <c r="H95" t="s">
        <v>671</v>
      </c>
    </row>
    <row r="96" spans="1:8">
      <c r="A96" t="s">
        <v>666</v>
      </c>
      <c r="B96">
        <v>95</v>
      </c>
      <c r="C96" t="s">
        <v>95</v>
      </c>
      <c r="D96" t="s">
        <v>495</v>
      </c>
      <c r="E96" t="str">
        <f>_xlfn.XLOOKUP(C96, idつけ作業用!E$2:E$177, idつけ作業用!H$2:H$177, "")</f>
        <v>吉田浜字大豆沢３－１</v>
      </c>
      <c r="F96" t="s">
        <v>671</v>
      </c>
      <c r="G96" t="s">
        <v>791</v>
      </c>
      <c r="H96" t="s">
        <v>671</v>
      </c>
    </row>
    <row r="97" spans="1:8">
      <c r="A97" t="s">
        <v>666</v>
      </c>
      <c r="B97">
        <v>96</v>
      </c>
      <c r="C97" t="s">
        <v>96</v>
      </c>
      <c r="D97" t="s">
        <v>496</v>
      </c>
      <c r="E97" t="str">
        <f>_xlfn.XLOOKUP(C97, idつけ作業用!E$2:E$177, idつけ作業用!H$2:H$177, "")</f>
        <v/>
      </c>
      <c r="F97" t="s">
        <v>671</v>
      </c>
      <c r="G97" t="s">
        <v>792</v>
      </c>
      <c r="H97" t="s">
        <v>671</v>
      </c>
    </row>
    <row r="98" spans="1:8">
      <c r="A98" t="s">
        <v>666</v>
      </c>
      <c r="B98">
        <v>97</v>
      </c>
      <c r="C98" t="s">
        <v>97</v>
      </c>
      <c r="D98" t="s">
        <v>497</v>
      </c>
      <c r="E98" t="str">
        <f>_xlfn.XLOOKUP(C98, idつけ作業用!E$2:E$177, idつけ作業用!H$2:H$177, "")</f>
        <v>菖蒲田浜字宅地１８番地</v>
      </c>
      <c r="F98" t="s">
        <v>671</v>
      </c>
      <c r="G98" t="s">
        <v>793</v>
      </c>
      <c r="H98" t="s">
        <v>671</v>
      </c>
    </row>
    <row r="99" spans="1:8">
      <c r="A99" t="s">
        <v>666</v>
      </c>
      <c r="B99">
        <v>98</v>
      </c>
      <c r="C99" t="s">
        <v>98</v>
      </c>
      <c r="D99" t="s">
        <v>498</v>
      </c>
      <c r="E99" t="str">
        <f>_xlfn.XLOOKUP(C99, idつけ作業用!E$2:E$177, idつけ作業用!H$2:H$177, "")</f>
        <v/>
      </c>
      <c r="F99" t="s">
        <v>669</v>
      </c>
      <c r="G99" t="s">
        <v>794</v>
      </c>
      <c r="H99" t="s">
        <v>671</v>
      </c>
    </row>
    <row r="100" spans="1:8">
      <c r="A100" t="s">
        <v>666</v>
      </c>
      <c r="B100">
        <v>99</v>
      </c>
      <c r="C100" t="s">
        <v>99</v>
      </c>
      <c r="D100" t="s">
        <v>499</v>
      </c>
      <c r="E100" t="str">
        <f>_xlfn.XLOOKUP(C100, idつけ作業用!E$2:E$177, idつけ作業用!H$2:H$177, "")</f>
        <v>菖蒲田浜字宅地６番地</v>
      </c>
      <c r="F100" t="s">
        <v>669</v>
      </c>
      <c r="G100" t="s">
        <v>669</v>
      </c>
      <c r="H100" t="s">
        <v>669</v>
      </c>
    </row>
    <row r="101" spans="1:8">
      <c r="A101" t="s">
        <v>666</v>
      </c>
      <c r="B101">
        <v>100</v>
      </c>
      <c r="C101" t="s">
        <v>100</v>
      </c>
      <c r="D101" t="s">
        <v>500</v>
      </c>
      <c r="E101" t="str">
        <f>_xlfn.XLOOKUP(C101, idつけ作業用!E$2:E$177, idつけ作業用!H$2:H$177, "")</f>
        <v>七ヶ浜町吉田浜字野山１番地の２七ヶ浜第１スポーツ広場応急仮設住宅</v>
      </c>
      <c r="F101" t="s">
        <v>673</v>
      </c>
      <c r="G101" t="s">
        <v>795</v>
      </c>
      <c r="H101" t="s">
        <v>673</v>
      </c>
    </row>
    <row r="102" spans="1:8">
      <c r="A102" t="s">
        <v>666</v>
      </c>
      <c r="B102">
        <v>101</v>
      </c>
      <c r="C102" t="s">
        <v>101</v>
      </c>
      <c r="D102" t="s">
        <v>501</v>
      </c>
      <c r="E102" t="str">
        <f>_xlfn.XLOOKUP(C102, idつけ作業用!E$2:E$177, idつけ作業用!H$2:H$177, "")</f>
        <v>七ヶ浜町吉田浜字小浜７番地の２０七ヶ浜中学校第２グラウンド応急仮設住宅</v>
      </c>
      <c r="F102" t="s">
        <v>669</v>
      </c>
      <c r="G102" t="s">
        <v>669</v>
      </c>
      <c r="H102" t="s">
        <v>669</v>
      </c>
    </row>
    <row r="103" spans="1:8">
      <c r="A103" t="s">
        <v>666</v>
      </c>
      <c r="B103">
        <v>102</v>
      </c>
      <c r="C103" t="s">
        <v>102</v>
      </c>
      <c r="D103" t="s">
        <v>502</v>
      </c>
      <c r="E103" t="str">
        <f>_xlfn.XLOOKUP(C103, idつけ作業用!E$2:E$177, idつけ作業用!H$2:H$177, "")</f>
        <v/>
      </c>
      <c r="F103" t="s">
        <v>673</v>
      </c>
      <c r="G103" t="s">
        <v>796</v>
      </c>
      <c r="H103" t="s">
        <v>673</v>
      </c>
    </row>
    <row r="104" spans="1:8">
      <c r="A104" t="s">
        <v>666</v>
      </c>
      <c r="B104">
        <v>103</v>
      </c>
      <c r="C104" t="s">
        <v>103</v>
      </c>
      <c r="D104" t="s">
        <v>503</v>
      </c>
      <c r="E104" t="str">
        <f>_xlfn.XLOOKUP(C104, idつけ作業用!E$2:E$177, idつけ作業用!H$2:H$177, "")</f>
        <v/>
      </c>
      <c r="F104" t="s">
        <v>669</v>
      </c>
      <c r="G104" t="s">
        <v>704</v>
      </c>
      <c r="H104" t="s">
        <v>673</v>
      </c>
    </row>
    <row r="105" spans="1:8">
      <c r="A105" t="s">
        <v>666</v>
      </c>
      <c r="B105">
        <v>104</v>
      </c>
      <c r="C105" t="s">
        <v>104</v>
      </c>
      <c r="D105" t="s">
        <v>504</v>
      </c>
      <c r="E105" t="str">
        <f>_xlfn.XLOOKUP(C105, idつけ作業用!E$2:E$177, idつけ作業用!H$2:H$177, "")</f>
        <v/>
      </c>
      <c r="F105" t="s">
        <v>673</v>
      </c>
      <c r="G105" t="s">
        <v>797</v>
      </c>
      <c r="H105" t="s">
        <v>673</v>
      </c>
    </row>
    <row r="106" spans="1:8">
      <c r="A106" t="s">
        <v>666</v>
      </c>
      <c r="B106">
        <v>105</v>
      </c>
      <c r="C106" t="s">
        <v>105</v>
      </c>
      <c r="D106" t="s">
        <v>505</v>
      </c>
      <c r="E106" t="str">
        <f>_xlfn.XLOOKUP(C106, idつけ作業用!E$2:E$177, idつけ作業用!H$2:H$177, "")</f>
        <v/>
      </c>
      <c r="F106" t="s">
        <v>669</v>
      </c>
      <c r="G106" t="s">
        <v>669</v>
      </c>
      <c r="H106" t="s">
        <v>669</v>
      </c>
    </row>
    <row r="107" spans="1:8">
      <c r="A107" t="s">
        <v>666</v>
      </c>
      <c r="B107">
        <v>106</v>
      </c>
      <c r="C107" t="s">
        <v>106</v>
      </c>
      <c r="D107" t="s">
        <v>506</v>
      </c>
      <c r="E107" t="str">
        <f>_xlfn.XLOOKUP(C107, idつけ作業用!E$2:E$177, idつけ作業用!H$2:H$177, "")</f>
        <v/>
      </c>
      <c r="F107" t="s">
        <v>669</v>
      </c>
      <c r="G107" t="s">
        <v>798</v>
      </c>
      <c r="H107" t="s">
        <v>673</v>
      </c>
    </row>
    <row r="108" spans="1:8">
      <c r="A108" t="s">
        <v>666</v>
      </c>
      <c r="B108">
        <v>107</v>
      </c>
      <c r="C108" t="s">
        <v>107</v>
      </c>
      <c r="D108" t="s">
        <v>507</v>
      </c>
      <c r="E108" t="str">
        <f>_xlfn.XLOOKUP(C108, idつけ作業用!E$2:E$177, idつけ作業用!H$2:H$177, "")</f>
        <v/>
      </c>
      <c r="F108" t="s">
        <v>669</v>
      </c>
      <c r="G108" t="s">
        <v>669</v>
      </c>
      <c r="H108" t="s">
        <v>669</v>
      </c>
    </row>
    <row r="109" spans="1:8">
      <c r="A109" t="s">
        <v>666</v>
      </c>
      <c r="B109">
        <v>108</v>
      </c>
      <c r="C109" t="s">
        <v>108</v>
      </c>
      <c r="D109" t="s">
        <v>508</v>
      </c>
      <c r="E109" t="str">
        <f>_xlfn.XLOOKUP(C109, idつけ作業用!E$2:E$177, idつけ作業用!H$2:H$177, "")</f>
        <v/>
      </c>
      <c r="F109" t="s">
        <v>669</v>
      </c>
      <c r="G109" t="s">
        <v>669</v>
      </c>
      <c r="H109" t="s">
        <v>669</v>
      </c>
    </row>
    <row r="110" spans="1:8">
      <c r="A110" t="s">
        <v>666</v>
      </c>
      <c r="B110">
        <v>109</v>
      </c>
      <c r="C110" t="s">
        <v>109</v>
      </c>
      <c r="D110" t="s">
        <v>509</v>
      </c>
      <c r="E110" t="str">
        <f>_xlfn.XLOOKUP(C110, idつけ作業用!E$2:E$177, idつけ作業用!H$2:H$177, "")</f>
        <v>塩竃市杉の入三丁目２－１５</v>
      </c>
      <c r="F110" t="s">
        <v>669</v>
      </c>
      <c r="G110" t="s">
        <v>669</v>
      </c>
      <c r="H110" t="s">
        <v>669</v>
      </c>
    </row>
    <row r="111" spans="1:8">
      <c r="A111" t="s">
        <v>666</v>
      </c>
      <c r="B111">
        <v>110</v>
      </c>
      <c r="C111" t="s">
        <v>110</v>
      </c>
      <c r="D111" t="s">
        <v>510</v>
      </c>
      <c r="E111" t="str">
        <f>_xlfn.XLOOKUP(C111, idつけ作業用!E$2:E$177, idつけ作業用!H$2:H$177, "")</f>
        <v>花渕浜字館下７０</v>
      </c>
      <c r="F111" t="s">
        <v>673</v>
      </c>
      <c r="G111" t="s">
        <v>799</v>
      </c>
      <c r="H111" t="s">
        <v>673</v>
      </c>
    </row>
    <row r="112" spans="1:8">
      <c r="A112" t="s">
        <v>666</v>
      </c>
      <c r="B112">
        <v>111</v>
      </c>
      <c r="C112" t="s">
        <v>111</v>
      </c>
      <c r="D112" t="s">
        <v>511</v>
      </c>
      <c r="E112" t="str">
        <f>_xlfn.XLOOKUP(C112, idつけ作業用!E$2:E$177, idつけ作業用!H$2:H$177, "")</f>
        <v/>
      </c>
      <c r="F112" t="s">
        <v>669</v>
      </c>
      <c r="G112" t="s">
        <v>669</v>
      </c>
      <c r="H112" t="s">
        <v>669</v>
      </c>
    </row>
    <row r="113" spans="1:8">
      <c r="A113" t="s">
        <v>666</v>
      </c>
      <c r="B113">
        <v>112</v>
      </c>
      <c r="C113" t="s">
        <v>112</v>
      </c>
      <c r="D113" t="s">
        <v>512</v>
      </c>
      <c r="E113" t="str">
        <f>_xlfn.XLOOKUP(C113, idつけ作業用!E$2:E$177, idつけ作業用!H$2:H$177, "")</f>
        <v/>
      </c>
      <c r="F113" t="s">
        <v>673</v>
      </c>
      <c r="G113" t="s">
        <v>800</v>
      </c>
      <c r="H113" t="s">
        <v>673</v>
      </c>
    </row>
    <row r="114" spans="1:8">
      <c r="A114" t="s">
        <v>666</v>
      </c>
      <c r="B114">
        <v>113</v>
      </c>
      <c r="C114" t="s">
        <v>113</v>
      </c>
      <c r="D114" t="s">
        <v>513</v>
      </c>
      <c r="E114" t="str">
        <f>_xlfn.XLOOKUP(C114, idつけ作業用!E$2:E$177, idつけ作業用!H$2:H$177, "")</f>
        <v/>
      </c>
      <c r="F114" t="s">
        <v>673</v>
      </c>
      <c r="G114" t="s">
        <v>801</v>
      </c>
      <c r="H114" t="s">
        <v>673</v>
      </c>
    </row>
    <row r="115" spans="1:8">
      <c r="A115" t="s">
        <v>666</v>
      </c>
      <c r="B115">
        <v>114</v>
      </c>
      <c r="C115" t="s">
        <v>114</v>
      </c>
      <c r="D115" t="s">
        <v>514</v>
      </c>
      <c r="E115" t="str">
        <f>_xlfn.XLOOKUP(C115, idつけ作業用!E$2:E$177, idつけ作業用!H$2:H$177, "")</f>
        <v>七ヶ浜町吉田浜字小浜７番地の２０七ヶ浜中学校第２グラウンド応急仮設住宅</v>
      </c>
      <c r="F115" t="s">
        <v>669</v>
      </c>
      <c r="G115" t="s">
        <v>694</v>
      </c>
      <c r="H115" t="s">
        <v>673</v>
      </c>
    </row>
    <row r="116" spans="1:8">
      <c r="A116" t="s">
        <v>666</v>
      </c>
      <c r="B116">
        <v>115</v>
      </c>
      <c r="C116" t="s">
        <v>717</v>
      </c>
      <c r="D116" t="s">
        <v>515</v>
      </c>
      <c r="E116" t="str">
        <f>_xlfn.XLOOKUP(C116, idつけ作業用!E$2:E$177, idつけ作業用!H$2:H$177, "")</f>
        <v>七ヶ浜町吉田浜字小浜７番地の２０七ヶ浜中学校第２グラウンド応急仮設住宅</v>
      </c>
      <c r="F116" t="s">
        <v>669</v>
      </c>
      <c r="G116" t="s">
        <v>802</v>
      </c>
      <c r="H116" t="s">
        <v>673</v>
      </c>
    </row>
    <row r="117" spans="1:8">
      <c r="A117" t="s">
        <v>666</v>
      </c>
      <c r="B117">
        <v>116</v>
      </c>
      <c r="C117" t="s">
        <v>116</v>
      </c>
      <c r="D117" t="s">
        <v>516</v>
      </c>
      <c r="E117" t="str">
        <f>_xlfn.XLOOKUP(C117, idつけ作業用!E$2:E$177, idつけ作業用!H$2:H$177, "")</f>
        <v>七ヶ浜町吉田浜字小浜７番地の２０七ヶ浜中学校第２グラウンド応急仮設住宅</v>
      </c>
      <c r="F117" t="s">
        <v>673</v>
      </c>
      <c r="G117" t="s">
        <v>803</v>
      </c>
      <c r="H117" t="s">
        <v>673</v>
      </c>
    </row>
    <row r="118" spans="1:8">
      <c r="A118" t="s">
        <v>666</v>
      </c>
      <c r="B118">
        <v>117</v>
      </c>
      <c r="C118" t="s">
        <v>117</v>
      </c>
      <c r="D118" t="s">
        <v>517</v>
      </c>
      <c r="E118" t="str">
        <f>_xlfn.XLOOKUP(C118, idつけ作業用!E$2:E$177, idつけ作業用!H$2:H$177, "")</f>
        <v>花渕浜字舘下１２番地</v>
      </c>
      <c r="F118" t="s">
        <v>669</v>
      </c>
      <c r="G118" t="s">
        <v>669</v>
      </c>
      <c r="H118" t="s">
        <v>669</v>
      </c>
    </row>
    <row r="119" spans="1:8">
      <c r="A119" t="s">
        <v>666</v>
      </c>
      <c r="B119">
        <v>118</v>
      </c>
      <c r="C119" t="s">
        <v>118</v>
      </c>
      <c r="D119" t="s">
        <v>518</v>
      </c>
      <c r="E119" t="str">
        <f>_xlfn.XLOOKUP(C119, idつけ作業用!E$2:E$177, idつけ作業用!H$2:H$177, "")</f>
        <v>七ヶ浜町吉田浜字野山１番地の２七ヶ浜第１スポーツ広場応急仮設住宅</v>
      </c>
      <c r="F119" t="s">
        <v>669</v>
      </c>
      <c r="G119" t="s">
        <v>804</v>
      </c>
      <c r="H119" t="s">
        <v>673</v>
      </c>
    </row>
    <row r="120" spans="1:8">
      <c r="A120" t="s">
        <v>666</v>
      </c>
      <c r="B120">
        <v>119</v>
      </c>
      <c r="C120" t="s">
        <v>119</v>
      </c>
      <c r="D120" t="s">
        <v>519</v>
      </c>
      <c r="E120" t="str">
        <f>_xlfn.XLOOKUP(C120, idつけ作業用!E$2:E$177, idつけ作業用!H$2:H$177, "")</f>
        <v>花渕浜字上ノ山４５番地の５</v>
      </c>
      <c r="F120" t="s">
        <v>673</v>
      </c>
      <c r="G120" t="s">
        <v>805</v>
      </c>
      <c r="H120" t="s">
        <v>673</v>
      </c>
    </row>
    <row r="121" spans="1:8">
      <c r="A121" t="s">
        <v>666</v>
      </c>
      <c r="B121">
        <v>120</v>
      </c>
      <c r="C121" t="s">
        <v>120</v>
      </c>
      <c r="D121" t="s">
        <v>520</v>
      </c>
      <c r="E121" t="str">
        <f>_xlfn.XLOOKUP(C121, idつけ作業用!E$2:E$177, idつけ作業用!H$2:H$177, "")</f>
        <v>花渕浜字天神堂４１番地の１</v>
      </c>
      <c r="F121" t="s">
        <v>674</v>
      </c>
      <c r="G121" t="s">
        <v>669</v>
      </c>
      <c r="H121" t="s">
        <v>669</v>
      </c>
    </row>
    <row r="122" spans="1:8">
      <c r="A122" t="s">
        <v>666</v>
      </c>
      <c r="B122">
        <v>121</v>
      </c>
      <c r="C122" t="s">
        <v>121</v>
      </c>
      <c r="D122" t="s">
        <v>521</v>
      </c>
      <c r="E122" t="str">
        <f>_xlfn.XLOOKUP(C122, idつけ作業用!E$2:E$177, idつけ作業用!H$2:H$177, "")</f>
        <v>花渕浜字安場５番地</v>
      </c>
      <c r="F122" t="s">
        <v>673</v>
      </c>
      <c r="G122" t="s">
        <v>806</v>
      </c>
      <c r="H122" t="s">
        <v>673</v>
      </c>
    </row>
    <row r="123" spans="1:8">
      <c r="A123" t="s">
        <v>666</v>
      </c>
      <c r="B123">
        <v>122</v>
      </c>
      <c r="C123" t="s">
        <v>122</v>
      </c>
      <c r="D123" t="s">
        <v>522</v>
      </c>
      <c r="E123" t="str">
        <f>_xlfn.XLOOKUP(C123, idつけ作業用!E$2:E$177, idつけ作業用!H$2:H$177, "")</f>
        <v>七ヶ浜町吉田浜字野山１番地の２七ヶ浜第１スポーツ広場応急仮設住宅</v>
      </c>
      <c r="F123" t="s">
        <v>673</v>
      </c>
      <c r="G123" t="s">
        <v>695</v>
      </c>
      <c r="H123" t="s">
        <v>673</v>
      </c>
    </row>
    <row r="124" spans="1:8">
      <c r="A124" t="s">
        <v>666</v>
      </c>
      <c r="B124">
        <v>123</v>
      </c>
      <c r="C124" t="s">
        <v>123</v>
      </c>
      <c r="D124" t="s">
        <v>523</v>
      </c>
      <c r="E124" t="str">
        <f>_xlfn.XLOOKUP(C124, idつけ作業用!E$2:E$177, idつけ作業用!H$2:H$177, "")</f>
        <v>七ヶ浜町吉田浜字小浜７番地の２０七ヶ浜中学校第２グラウンド応急仮設住宅</v>
      </c>
      <c r="F124" t="s">
        <v>673</v>
      </c>
      <c r="G124" t="s">
        <v>807</v>
      </c>
      <c r="H124" t="s">
        <v>673</v>
      </c>
    </row>
    <row r="125" spans="1:8">
      <c r="A125" t="s">
        <v>666</v>
      </c>
      <c r="B125">
        <v>124</v>
      </c>
      <c r="C125" t="s">
        <v>124</v>
      </c>
      <c r="D125" t="s">
        <v>524</v>
      </c>
      <c r="E125" t="str">
        <f>_xlfn.XLOOKUP(C125, idつけ作業用!E$2:E$177, idつけ作業用!H$2:H$177, "")</f>
        <v>花渕浜字観音堂５番地の９</v>
      </c>
      <c r="F125" t="s">
        <v>673</v>
      </c>
      <c r="G125" t="s">
        <v>808</v>
      </c>
      <c r="H125" t="s">
        <v>673</v>
      </c>
    </row>
    <row r="126" spans="1:8">
      <c r="A126" t="s">
        <v>666</v>
      </c>
      <c r="B126">
        <v>125</v>
      </c>
      <c r="C126" t="s">
        <v>125</v>
      </c>
      <c r="D126" t="s">
        <v>525</v>
      </c>
      <c r="E126" t="str">
        <f>_xlfn.XLOOKUP(C126, idつけ作業用!E$2:E$177, idつけ作業用!H$2:H$177, "")</f>
        <v/>
      </c>
      <c r="F126" t="s">
        <v>673</v>
      </c>
      <c r="G126" t="s">
        <v>809</v>
      </c>
      <c r="H126" t="s">
        <v>673</v>
      </c>
    </row>
    <row r="127" spans="1:8">
      <c r="A127" t="s">
        <v>666</v>
      </c>
      <c r="B127">
        <v>126</v>
      </c>
      <c r="C127" t="s">
        <v>126</v>
      </c>
      <c r="D127" t="s">
        <v>526</v>
      </c>
      <c r="E127" t="str">
        <f>_xlfn.XLOOKUP(C127, idつけ作業用!E$2:E$177, idつけ作業用!H$2:H$177, "")</f>
        <v>花渕浜字上清水沢２９番地の２</v>
      </c>
      <c r="F127" t="s">
        <v>674</v>
      </c>
      <c r="G127" t="s">
        <v>810</v>
      </c>
      <c r="H127" t="s">
        <v>673</v>
      </c>
    </row>
    <row r="128" spans="1:8">
      <c r="A128" t="s">
        <v>666</v>
      </c>
      <c r="B128">
        <v>127</v>
      </c>
      <c r="C128" t="s">
        <v>127</v>
      </c>
      <c r="D128" t="s">
        <v>527</v>
      </c>
      <c r="E128" t="str">
        <f>_xlfn.XLOOKUP(C128, idつけ作業用!E$2:E$177, idつけ作業用!H$2:H$177, "")</f>
        <v>花渕浜字舘下７１番地</v>
      </c>
      <c r="F128" t="s">
        <v>673</v>
      </c>
      <c r="G128" t="s">
        <v>811</v>
      </c>
      <c r="H128" t="s">
        <v>673</v>
      </c>
    </row>
    <row r="129" spans="1:8">
      <c r="A129" t="s">
        <v>666</v>
      </c>
      <c r="B129">
        <v>128</v>
      </c>
      <c r="C129" t="s">
        <v>128</v>
      </c>
      <c r="D129" t="s">
        <v>528</v>
      </c>
      <c r="E129" t="str">
        <f>_xlfn.XLOOKUP(C129, idつけ作業用!E$2:E$177, idつけ作業用!H$2:H$177, "")</f>
        <v>七ヶ浜町吉田浜字野山１番地の２七ヶ浜第１スポーツ広場応急仮設住宅</v>
      </c>
      <c r="F129" t="s">
        <v>673</v>
      </c>
      <c r="G129" t="s">
        <v>812</v>
      </c>
      <c r="H129" t="s">
        <v>673</v>
      </c>
    </row>
    <row r="130" spans="1:8">
      <c r="A130" t="s">
        <v>666</v>
      </c>
      <c r="B130">
        <v>129</v>
      </c>
      <c r="C130" t="s">
        <v>129</v>
      </c>
      <c r="D130" t="s">
        <v>529</v>
      </c>
      <c r="E130" t="str">
        <f>_xlfn.XLOOKUP(C130, idつけ作業用!E$2:E$177, idつけ作業用!H$2:H$177, "")</f>
        <v>花渕浜字寺坂１２</v>
      </c>
      <c r="F130" t="s">
        <v>673</v>
      </c>
      <c r="G130" t="s">
        <v>813</v>
      </c>
      <c r="H130" t="s">
        <v>673</v>
      </c>
    </row>
    <row r="131" spans="1:8">
      <c r="A131" t="s">
        <v>666</v>
      </c>
      <c r="B131">
        <v>130</v>
      </c>
      <c r="C131" t="s">
        <v>130</v>
      </c>
      <c r="D131" t="s">
        <v>530</v>
      </c>
      <c r="E131" t="str">
        <f>_xlfn.XLOOKUP(C131, idつけ作業用!E$2:E$177, idつけ作業用!H$2:H$177, "")</f>
        <v>吉田浜字寺山２番地の２</v>
      </c>
      <c r="F131" t="s">
        <v>674</v>
      </c>
      <c r="G131" t="s">
        <v>814</v>
      </c>
      <c r="H131" t="s">
        <v>674</v>
      </c>
    </row>
    <row r="132" spans="1:8">
      <c r="A132" t="s">
        <v>666</v>
      </c>
      <c r="B132">
        <v>131</v>
      </c>
      <c r="C132" t="s">
        <v>131</v>
      </c>
      <c r="D132" t="s">
        <v>531</v>
      </c>
      <c r="E132" t="str">
        <f>_xlfn.XLOOKUP(C132, idつけ作業用!E$2:E$177, idつけ作業用!H$2:H$177, "")</f>
        <v/>
      </c>
      <c r="F132" t="s">
        <v>669</v>
      </c>
      <c r="G132" t="s">
        <v>815</v>
      </c>
      <c r="H132" t="s">
        <v>674</v>
      </c>
    </row>
    <row r="133" spans="1:8">
      <c r="A133" t="s">
        <v>666</v>
      </c>
      <c r="B133">
        <v>132</v>
      </c>
      <c r="C133" t="s">
        <v>132</v>
      </c>
      <c r="D133" t="s">
        <v>532</v>
      </c>
      <c r="E133" t="str">
        <f>_xlfn.XLOOKUP(C133, idつけ作業用!E$2:E$177, idつけ作業用!H$2:H$177, "")</f>
        <v>花渕浜字上ノ山９２番地の１</v>
      </c>
      <c r="F133" t="s">
        <v>674</v>
      </c>
      <c r="G133" t="s">
        <v>816</v>
      </c>
      <c r="H133" t="s">
        <v>674</v>
      </c>
    </row>
    <row r="134" spans="1:8">
      <c r="A134" t="s">
        <v>666</v>
      </c>
      <c r="B134">
        <v>133</v>
      </c>
      <c r="C134" t="s">
        <v>133</v>
      </c>
      <c r="D134" t="s">
        <v>533</v>
      </c>
      <c r="E134" t="str">
        <f>_xlfn.XLOOKUP(C134, idつけ作業用!E$2:E$177, idつけ作業用!H$2:H$177, "")</f>
        <v>花渕浜字上ノ山２１</v>
      </c>
      <c r="F134" t="s">
        <v>674</v>
      </c>
      <c r="G134" t="s">
        <v>817</v>
      </c>
      <c r="H134" t="s">
        <v>674</v>
      </c>
    </row>
    <row r="135" spans="1:8">
      <c r="A135" t="s">
        <v>666</v>
      </c>
      <c r="B135">
        <v>134</v>
      </c>
      <c r="C135" t="s">
        <v>134</v>
      </c>
      <c r="D135" t="s">
        <v>534</v>
      </c>
      <c r="E135" t="str">
        <f>_xlfn.XLOOKUP(C135, idつけ作業用!E$2:E$177, idつけ作業用!H$2:H$177, "")</f>
        <v>七ヶ浜町吉田浜字野山１番地の２七ヶ浜第１スポーツ広場応急仮設住宅</v>
      </c>
      <c r="F135" t="s">
        <v>674</v>
      </c>
      <c r="G135" t="s">
        <v>818</v>
      </c>
      <c r="H135" t="s">
        <v>674</v>
      </c>
    </row>
    <row r="136" spans="1:8">
      <c r="A136" t="s">
        <v>666</v>
      </c>
      <c r="B136">
        <v>135</v>
      </c>
      <c r="C136" t="s">
        <v>135</v>
      </c>
      <c r="D136" t="s">
        <v>535</v>
      </c>
      <c r="E136" t="str">
        <f>_xlfn.XLOOKUP(C136, idつけ作業用!E$2:E$177, idつけ作業用!H$2:H$177, "")</f>
        <v/>
      </c>
      <c r="F136" t="s">
        <v>669</v>
      </c>
      <c r="G136" t="s">
        <v>669</v>
      </c>
      <c r="H136" t="s">
        <v>669</v>
      </c>
    </row>
    <row r="137" spans="1:8">
      <c r="A137" t="s">
        <v>666</v>
      </c>
      <c r="B137">
        <v>136</v>
      </c>
      <c r="C137" t="s">
        <v>136</v>
      </c>
      <c r="D137" t="s">
        <v>536</v>
      </c>
      <c r="E137" t="str">
        <f>_xlfn.XLOOKUP(C137, idつけ作業用!E$2:E$177, idつけ作業用!H$2:H$177, "")</f>
        <v>吉田浜字宮前６５番地の４</v>
      </c>
      <c r="F137" t="s">
        <v>674</v>
      </c>
      <c r="G137" t="s">
        <v>819</v>
      </c>
      <c r="H137" t="s">
        <v>674</v>
      </c>
    </row>
    <row r="138" spans="1:8">
      <c r="A138" t="s">
        <v>666</v>
      </c>
      <c r="B138">
        <v>137</v>
      </c>
      <c r="C138" t="s">
        <v>137</v>
      </c>
      <c r="D138" t="s">
        <v>537</v>
      </c>
      <c r="E138" t="str">
        <f>_xlfn.XLOOKUP(C138, idつけ作業用!E$2:E$177, idつけ作業用!H$2:H$177, "")</f>
        <v>吉田浜字居久保５番地の１</v>
      </c>
      <c r="F138" t="s">
        <v>674</v>
      </c>
      <c r="G138" t="s">
        <v>820</v>
      </c>
      <c r="H138" t="s">
        <v>674</v>
      </c>
    </row>
    <row r="139" spans="1:8">
      <c r="A139" t="s">
        <v>666</v>
      </c>
      <c r="B139">
        <v>138</v>
      </c>
      <c r="C139" t="s">
        <v>138</v>
      </c>
      <c r="D139" t="s">
        <v>538</v>
      </c>
      <c r="E139" t="str">
        <f>_xlfn.XLOOKUP(C139, idつけ作業用!E$2:E$177, idつけ作業用!H$2:H$177, "")</f>
        <v>吉田浜字二月田１７番地の１</v>
      </c>
      <c r="F139" t="s">
        <v>674</v>
      </c>
      <c r="G139" t="s">
        <v>821</v>
      </c>
      <c r="H139" t="s">
        <v>674</v>
      </c>
    </row>
    <row r="140" spans="1:8">
      <c r="A140" t="s">
        <v>666</v>
      </c>
      <c r="B140">
        <v>139</v>
      </c>
      <c r="C140" t="s">
        <v>139</v>
      </c>
      <c r="D140" t="s">
        <v>539</v>
      </c>
      <c r="E140" t="str">
        <f>_xlfn.XLOOKUP(C140, idつけ作業用!E$2:E$177, idつけ作業用!H$2:H$177, "")</f>
        <v>七ヶ浜町汐見台七丁目８番地の２０汐見台七丁目応急仮設住宅</v>
      </c>
      <c r="F140" t="s">
        <v>674</v>
      </c>
      <c r="G140" t="s">
        <v>822</v>
      </c>
      <c r="H140" t="s">
        <v>674</v>
      </c>
    </row>
    <row r="141" spans="1:8">
      <c r="A141" t="s">
        <v>666</v>
      </c>
      <c r="B141">
        <v>140</v>
      </c>
      <c r="C141" t="s">
        <v>140</v>
      </c>
      <c r="D141" t="s">
        <v>540</v>
      </c>
      <c r="E141" t="str">
        <f>_xlfn.XLOOKUP(C141, idつけ作業用!E$2:E$177, idつけ作業用!H$2:H$177, "")</f>
        <v/>
      </c>
      <c r="F141" t="s">
        <v>669</v>
      </c>
      <c r="G141" t="s">
        <v>823</v>
      </c>
      <c r="H141" t="s">
        <v>674</v>
      </c>
    </row>
    <row r="142" spans="1:8">
      <c r="A142" t="s">
        <v>666</v>
      </c>
      <c r="B142">
        <v>141</v>
      </c>
      <c r="C142" t="s">
        <v>141</v>
      </c>
      <c r="D142" t="s">
        <v>541</v>
      </c>
      <c r="E142" t="str">
        <f>_xlfn.XLOOKUP(C142, idつけ作業用!E$2:E$177, idつけ作業用!H$2:H$177, "")</f>
        <v>吉田浜字大豆沢７０番地の２</v>
      </c>
      <c r="F142" t="s">
        <v>669</v>
      </c>
      <c r="G142" t="s">
        <v>824</v>
      </c>
      <c r="H142" t="s">
        <v>674</v>
      </c>
    </row>
    <row r="143" spans="1:8">
      <c r="A143" t="s">
        <v>666</v>
      </c>
      <c r="B143">
        <v>142</v>
      </c>
      <c r="C143" t="s">
        <v>142</v>
      </c>
      <c r="D143" t="s">
        <v>542</v>
      </c>
      <c r="E143" t="str">
        <f>_xlfn.XLOOKUP(C143, idつけ作業用!E$2:E$177, idつけ作業用!H$2:H$177, "")</f>
        <v>東宮浜字東浦田５６－２</v>
      </c>
      <c r="F143" t="s">
        <v>674</v>
      </c>
      <c r="G143" t="s">
        <v>825</v>
      </c>
      <c r="H143" t="s">
        <v>674</v>
      </c>
    </row>
    <row r="144" spans="1:8">
      <c r="A144" t="s">
        <v>666</v>
      </c>
      <c r="B144">
        <v>143</v>
      </c>
      <c r="C144" t="s">
        <v>143</v>
      </c>
      <c r="D144" t="s">
        <v>543</v>
      </c>
      <c r="E144" t="str">
        <f>_xlfn.XLOOKUP(C144, idつけ作業用!E$2:E$177, idつけ作業用!H$2:H$177, "")</f>
        <v>花渕浜字上ノ山７８番地</v>
      </c>
      <c r="F144" t="s">
        <v>674</v>
      </c>
      <c r="G144" t="s">
        <v>826</v>
      </c>
      <c r="H144" t="s">
        <v>674</v>
      </c>
    </row>
    <row r="145" spans="1:8">
      <c r="A145" t="s">
        <v>666</v>
      </c>
      <c r="B145">
        <v>144</v>
      </c>
      <c r="C145" t="s">
        <v>144</v>
      </c>
      <c r="D145" t="s">
        <v>544</v>
      </c>
      <c r="E145" t="str">
        <f>_xlfn.XLOOKUP(C145, idつけ作業用!E$2:E$177, idつけ作業用!H$2:H$177, "")</f>
        <v>花渕浜字上ノ山７番地の２</v>
      </c>
      <c r="F145" t="s">
        <v>674</v>
      </c>
      <c r="G145" t="s">
        <v>827</v>
      </c>
      <c r="H145" t="s">
        <v>674</v>
      </c>
    </row>
    <row r="146" spans="1:8">
      <c r="A146" t="s">
        <v>666</v>
      </c>
      <c r="B146">
        <v>145</v>
      </c>
      <c r="C146" t="s">
        <v>145</v>
      </c>
      <c r="D146" t="s">
        <v>545</v>
      </c>
      <c r="E146" t="str">
        <f>_xlfn.XLOOKUP(C146, idつけ作業用!E$2:E$177, idつけ作業用!H$2:H$177, "")</f>
        <v>吉田浜字細田１４－５８</v>
      </c>
      <c r="F146" t="s">
        <v>669</v>
      </c>
      <c r="G146" t="s">
        <v>828</v>
      </c>
      <c r="H146" t="s">
        <v>674</v>
      </c>
    </row>
    <row r="147" spans="1:8">
      <c r="A147" t="s">
        <v>666</v>
      </c>
      <c r="B147">
        <v>146</v>
      </c>
      <c r="C147" t="s">
        <v>146</v>
      </c>
      <c r="D147" t="s">
        <v>546</v>
      </c>
      <c r="E147" t="str">
        <f>_xlfn.XLOOKUP(C147, idつけ作業用!E$2:E$177, idつけ作業用!H$2:H$177, "")</f>
        <v>七ヶ浜町汐見台七丁目８番地の２０汐見台七丁目応急仮設住宅</v>
      </c>
      <c r="F147" t="s">
        <v>674</v>
      </c>
      <c r="G147" t="s">
        <v>829</v>
      </c>
      <c r="H147" t="s">
        <v>674</v>
      </c>
    </row>
    <row r="148" spans="1:8">
      <c r="A148" t="s">
        <v>666</v>
      </c>
      <c r="B148">
        <v>147</v>
      </c>
      <c r="C148" t="s">
        <v>147</v>
      </c>
      <c r="D148" t="s">
        <v>547</v>
      </c>
      <c r="E148" t="str">
        <f>_xlfn.XLOOKUP(C148, idつけ作業用!E$2:E$177, idつけ作業用!H$2:H$177, "")</f>
        <v>吉田浜字浜屋敷３４</v>
      </c>
      <c r="F148" t="s">
        <v>674</v>
      </c>
      <c r="G148" t="s">
        <v>830</v>
      </c>
      <c r="H148" t="s">
        <v>674</v>
      </c>
    </row>
    <row r="149" spans="1:8">
      <c r="A149" t="s">
        <v>666</v>
      </c>
      <c r="B149">
        <v>148</v>
      </c>
      <c r="C149" t="s">
        <v>148</v>
      </c>
      <c r="D149" t="s">
        <v>548</v>
      </c>
      <c r="E149" t="str">
        <f>_xlfn.XLOOKUP(C149, idつけ作業用!E$2:E$177, idつけ作業用!H$2:H$177, "")</f>
        <v>吉田浜字浜屋敷３９</v>
      </c>
      <c r="F149" t="s">
        <v>674</v>
      </c>
      <c r="G149" t="s">
        <v>831</v>
      </c>
      <c r="H149" t="s">
        <v>674</v>
      </c>
    </row>
    <row r="150" spans="1:8">
      <c r="A150" t="s">
        <v>666</v>
      </c>
      <c r="B150">
        <v>149</v>
      </c>
      <c r="C150" t="s">
        <v>149</v>
      </c>
      <c r="D150" t="s">
        <v>549</v>
      </c>
      <c r="E150" t="str">
        <f>_xlfn.XLOOKUP(C150, idつけ作業用!E$2:E$177, idつけ作業用!H$2:H$177, "")</f>
        <v/>
      </c>
      <c r="F150" t="s">
        <v>669</v>
      </c>
      <c r="G150" t="s">
        <v>669</v>
      </c>
      <c r="H150" t="s">
        <v>669</v>
      </c>
    </row>
    <row r="151" spans="1:8">
      <c r="A151" t="s">
        <v>666</v>
      </c>
      <c r="B151">
        <v>150</v>
      </c>
      <c r="C151" t="s">
        <v>150</v>
      </c>
      <c r="D151" t="s">
        <v>550</v>
      </c>
      <c r="E151" t="str">
        <f>_xlfn.XLOOKUP(C151, idつけ作業用!E$2:E$177, idつけ作業用!H$2:H$177, "")</f>
        <v/>
      </c>
      <c r="F151" t="s">
        <v>669</v>
      </c>
      <c r="G151" t="s">
        <v>832</v>
      </c>
      <c r="H151" t="s">
        <v>674</v>
      </c>
    </row>
    <row r="152" spans="1:8">
      <c r="A152" t="s">
        <v>666</v>
      </c>
      <c r="B152">
        <v>151</v>
      </c>
      <c r="C152" t="s">
        <v>151</v>
      </c>
      <c r="D152" t="s">
        <v>551</v>
      </c>
      <c r="E152" t="str">
        <f>_xlfn.XLOOKUP(C152, idつけ作業用!E$2:E$177, idつけ作業用!H$2:H$177, "")</f>
        <v>吉田浜字宮前６２番地の１</v>
      </c>
      <c r="F152" t="s">
        <v>674</v>
      </c>
      <c r="G152" t="s">
        <v>833</v>
      </c>
      <c r="H152" t="s">
        <v>674</v>
      </c>
    </row>
    <row r="153" spans="1:8">
      <c r="A153" t="s">
        <v>666</v>
      </c>
      <c r="B153">
        <v>152</v>
      </c>
      <c r="C153" t="s">
        <v>152</v>
      </c>
      <c r="D153" t="s">
        <v>552</v>
      </c>
      <c r="E153" t="str">
        <f>_xlfn.XLOOKUP(C153, idつけ作業用!E$2:E$177, idつけ作業用!H$2:H$177, "")</f>
        <v>吉田浜字宮前１２番地</v>
      </c>
      <c r="F153" t="s">
        <v>674</v>
      </c>
      <c r="G153" t="s">
        <v>834</v>
      </c>
      <c r="H153" t="s">
        <v>674</v>
      </c>
    </row>
    <row r="154" spans="1:8">
      <c r="A154" t="s">
        <v>666</v>
      </c>
      <c r="B154">
        <v>153</v>
      </c>
      <c r="C154" t="s">
        <v>153</v>
      </c>
      <c r="D154" t="s">
        <v>553</v>
      </c>
      <c r="E154" t="str">
        <f>_xlfn.XLOOKUP(C154, idつけ作業用!E$2:E$177, idつけ作業用!H$2:H$177, "")</f>
        <v>吉田浜字大豆沢６３番地の２</v>
      </c>
      <c r="F154" t="s">
        <v>669</v>
      </c>
      <c r="G154" t="s">
        <v>669</v>
      </c>
      <c r="H154" t="s">
        <v>669</v>
      </c>
    </row>
    <row r="155" spans="1:8">
      <c r="A155" t="s">
        <v>666</v>
      </c>
      <c r="B155">
        <v>154</v>
      </c>
      <c r="C155" t="s">
        <v>154</v>
      </c>
      <c r="D155" t="s">
        <v>554</v>
      </c>
      <c r="E155" t="str">
        <f>_xlfn.XLOOKUP(C155, idつけ作業用!E$2:E$177, idつけ作業用!H$2:H$177, "")</f>
        <v>吉田浜字浜屋敷６１番地の２</v>
      </c>
      <c r="F155" t="s">
        <v>674</v>
      </c>
      <c r="G155" t="s">
        <v>835</v>
      </c>
      <c r="H155" t="s">
        <v>674</v>
      </c>
    </row>
    <row r="156" spans="1:8">
      <c r="A156" t="s">
        <v>666</v>
      </c>
      <c r="B156">
        <v>155</v>
      </c>
      <c r="C156" t="s">
        <v>155</v>
      </c>
      <c r="D156" t="s">
        <v>555</v>
      </c>
      <c r="E156" t="str">
        <f>_xlfn.XLOOKUP(C156, idつけ作業用!E$2:E$177, idつけ作業用!H$2:H$177, "")</f>
        <v>七ヶ浜町汐見台七丁目８番地の２０汐見台七丁目応急仮設住宅</v>
      </c>
      <c r="F156" t="s">
        <v>674</v>
      </c>
      <c r="G156" t="s">
        <v>697</v>
      </c>
      <c r="H156" t="s">
        <v>674</v>
      </c>
    </row>
    <row r="157" spans="1:8">
      <c r="A157" t="s">
        <v>666</v>
      </c>
      <c r="B157">
        <v>156</v>
      </c>
      <c r="C157" t="s">
        <v>156</v>
      </c>
      <c r="D157" t="s">
        <v>556</v>
      </c>
      <c r="E157" t="str">
        <f>_xlfn.XLOOKUP(C157, idつけ作業用!E$2:E$177, idつけ作業用!H$2:H$177, "")</f>
        <v>花渕浜字藤ヶ沢３３番地の１</v>
      </c>
      <c r="F157" t="s">
        <v>674</v>
      </c>
      <c r="G157" t="s">
        <v>836</v>
      </c>
      <c r="H157" t="s">
        <v>674</v>
      </c>
    </row>
    <row r="158" spans="1:8">
      <c r="A158" t="s">
        <v>666</v>
      </c>
      <c r="B158">
        <v>157</v>
      </c>
      <c r="C158" t="s">
        <v>157</v>
      </c>
      <c r="D158" t="s">
        <v>557</v>
      </c>
      <c r="E158" t="str">
        <f>_xlfn.XLOOKUP(C158, idつけ作業用!E$2:E$177, idつけ作業用!H$2:H$177, "")</f>
        <v>花渕浜字上ノ山８２番地</v>
      </c>
      <c r="F158" t="s">
        <v>674</v>
      </c>
      <c r="G158" t="s">
        <v>837</v>
      </c>
      <c r="H158" t="s">
        <v>674</v>
      </c>
    </row>
    <row r="159" spans="1:8">
      <c r="A159" t="s">
        <v>666</v>
      </c>
      <c r="B159">
        <v>158</v>
      </c>
      <c r="C159" t="s">
        <v>158</v>
      </c>
      <c r="D159" t="s">
        <v>558</v>
      </c>
      <c r="E159" t="str">
        <f>_xlfn.XLOOKUP(C159, idつけ作業用!E$2:E$177, idつけ作業用!H$2:H$177, "")</f>
        <v>吉田浜字上ノ台１１番地の１</v>
      </c>
      <c r="F159" t="s">
        <v>669</v>
      </c>
      <c r="G159" t="s">
        <v>838</v>
      </c>
      <c r="H159" t="s">
        <v>674</v>
      </c>
    </row>
    <row r="160" spans="1:8">
      <c r="A160" t="s">
        <v>666</v>
      </c>
      <c r="B160">
        <v>159</v>
      </c>
      <c r="C160" t="s">
        <v>159</v>
      </c>
      <c r="D160" t="s">
        <v>559</v>
      </c>
      <c r="E160" t="str">
        <f>_xlfn.XLOOKUP(C160, idつけ作業用!E$2:E$177, idつけ作業用!H$2:H$177, "")</f>
        <v>吉田浜字浜屋敷１５番地</v>
      </c>
      <c r="F160" t="s">
        <v>674</v>
      </c>
      <c r="G160" t="s">
        <v>839</v>
      </c>
      <c r="H160" t="s">
        <v>674</v>
      </c>
    </row>
    <row r="161" spans="1:8">
      <c r="A161" t="s">
        <v>666</v>
      </c>
      <c r="B161">
        <v>160</v>
      </c>
      <c r="C161" t="s">
        <v>160</v>
      </c>
      <c r="D161" t="s">
        <v>560</v>
      </c>
      <c r="E161" t="str">
        <f>_xlfn.XLOOKUP(C161, idつけ作業用!E$2:E$177, idつけ作業用!H$2:H$177, "")</f>
        <v>吉田浜字浜屋敷３８番地の１</v>
      </c>
      <c r="F161" t="s">
        <v>674</v>
      </c>
      <c r="G161" t="s">
        <v>840</v>
      </c>
      <c r="H161" t="s">
        <v>674</v>
      </c>
    </row>
    <row r="162" spans="1:8">
      <c r="A162" t="s">
        <v>666</v>
      </c>
      <c r="B162">
        <v>161</v>
      </c>
      <c r="C162" t="s">
        <v>161</v>
      </c>
      <c r="D162" t="s">
        <v>561</v>
      </c>
      <c r="E162" t="str">
        <f>_xlfn.XLOOKUP(C162, idつけ作業用!E$2:E$177, idつけ作業用!H$2:H$177, "")</f>
        <v/>
      </c>
      <c r="F162" t="s">
        <v>669</v>
      </c>
      <c r="G162" t="s">
        <v>841</v>
      </c>
      <c r="H162" t="s">
        <v>674</v>
      </c>
    </row>
    <row r="163" spans="1:8">
      <c r="A163" t="s">
        <v>666</v>
      </c>
      <c r="B163">
        <v>162</v>
      </c>
      <c r="C163" t="s">
        <v>162</v>
      </c>
      <c r="D163" t="s">
        <v>562</v>
      </c>
      <c r="E163" t="str">
        <f>_xlfn.XLOOKUP(C163, idつけ作業用!E$2:E$177, idつけ作業用!H$2:H$177, "")</f>
        <v>代ヶ崎浜字清水１３番地</v>
      </c>
      <c r="F163" t="s">
        <v>675</v>
      </c>
      <c r="G163" t="s">
        <v>842</v>
      </c>
      <c r="H163" t="s">
        <v>675</v>
      </c>
    </row>
    <row r="164" spans="1:8">
      <c r="A164" t="s">
        <v>666</v>
      </c>
      <c r="B164">
        <v>163</v>
      </c>
      <c r="C164" t="s">
        <v>163</v>
      </c>
      <c r="D164" t="s">
        <v>563</v>
      </c>
      <c r="E164" t="str">
        <f>_xlfn.XLOOKUP(C164, idつけ作業用!E$2:E$177, idつけ作業用!H$2:H$177, "")</f>
        <v/>
      </c>
      <c r="F164" t="s">
        <v>669</v>
      </c>
      <c r="G164" t="s">
        <v>669</v>
      </c>
      <c r="H164" t="s">
        <v>669</v>
      </c>
    </row>
    <row r="165" spans="1:8">
      <c r="A165" t="s">
        <v>666</v>
      </c>
      <c r="B165">
        <v>164</v>
      </c>
      <c r="C165" t="s">
        <v>164</v>
      </c>
      <c r="D165" t="s">
        <v>564</v>
      </c>
      <c r="E165" t="str">
        <f>_xlfn.XLOOKUP(C165, idつけ作業用!E$2:E$177, idつけ作業用!H$2:H$177, "")</f>
        <v>代ヶ崎浜字清水１６番地の１</v>
      </c>
      <c r="F165" t="s">
        <v>675</v>
      </c>
      <c r="G165" t="s">
        <v>843</v>
      </c>
      <c r="H165" t="s">
        <v>675</v>
      </c>
    </row>
    <row r="166" spans="1:8">
      <c r="A166" t="s">
        <v>666</v>
      </c>
      <c r="B166">
        <v>165</v>
      </c>
      <c r="C166" t="s">
        <v>165</v>
      </c>
      <c r="D166" t="s">
        <v>565</v>
      </c>
      <c r="E166" t="str">
        <f>_xlfn.XLOOKUP(C166, idつけ作業用!E$2:E$177, idつけ作業用!H$2:H$177, "")</f>
        <v/>
      </c>
      <c r="F166" t="s">
        <v>669</v>
      </c>
      <c r="G166" t="s">
        <v>844</v>
      </c>
      <c r="H166" t="s">
        <v>675</v>
      </c>
    </row>
    <row r="167" spans="1:8">
      <c r="A167" t="s">
        <v>666</v>
      </c>
      <c r="B167">
        <v>166</v>
      </c>
      <c r="C167" t="s">
        <v>166</v>
      </c>
      <c r="D167" t="s">
        <v>566</v>
      </c>
      <c r="E167" t="str">
        <f>_xlfn.XLOOKUP(C167, idつけ作業用!E$2:E$177, idつけ作業用!H$2:H$177, "")</f>
        <v>七ヶ浜町吉田浜字野山１番地の２七ヶ浜第１スポーツ広場応急仮設住宅</v>
      </c>
      <c r="F167" t="s">
        <v>675</v>
      </c>
      <c r="G167" t="s">
        <v>845</v>
      </c>
      <c r="H167" t="s">
        <v>675</v>
      </c>
    </row>
    <row r="168" spans="1:8">
      <c r="A168" t="s">
        <v>666</v>
      </c>
      <c r="B168">
        <v>167</v>
      </c>
      <c r="C168" t="s">
        <v>167</v>
      </c>
      <c r="D168" t="s">
        <v>567</v>
      </c>
      <c r="E168" t="str">
        <f>_xlfn.XLOOKUP(C168, idつけ作業用!E$2:E$177, idつけ作業用!H$2:H$177, "")</f>
        <v>仙台市宮城野区幸町２丁目１１－２ノーブル幸町２０２号</v>
      </c>
      <c r="F168" t="s">
        <v>675</v>
      </c>
      <c r="G168" t="s">
        <v>846</v>
      </c>
      <c r="H168" t="s">
        <v>675</v>
      </c>
    </row>
    <row r="169" spans="1:8">
      <c r="A169" t="s">
        <v>666</v>
      </c>
      <c r="B169">
        <v>168</v>
      </c>
      <c r="C169" t="s">
        <v>168</v>
      </c>
      <c r="D169" t="s">
        <v>568</v>
      </c>
      <c r="E169" t="str">
        <f>_xlfn.XLOOKUP(C169, idつけ作業用!E$2:E$177, idつけ作業用!H$2:H$177, "")</f>
        <v>代ヶ崎浜字峯５４－８</v>
      </c>
      <c r="F169" t="s">
        <v>675</v>
      </c>
      <c r="G169" t="s">
        <v>847</v>
      </c>
      <c r="H169" t="s">
        <v>675</v>
      </c>
    </row>
    <row r="170" spans="1:8">
      <c r="A170" t="s">
        <v>666</v>
      </c>
      <c r="B170">
        <v>169</v>
      </c>
      <c r="C170" t="s">
        <v>169</v>
      </c>
      <c r="D170" t="s">
        <v>569</v>
      </c>
      <c r="E170" t="str">
        <f>_xlfn.XLOOKUP(C170, idつけ作業用!E$2:E$177, idつけ作業用!H$2:H$177, "")</f>
        <v/>
      </c>
      <c r="F170" t="s">
        <v>669</v>
      </c>
      <c r="G170" t="s">
        <v>848</v>
      </c>
      <c r="H170" t="s">
        <v>675</v>
      </c>
    </row>
    <row r="171" spans="1:8">
      <c r="A171" t="s">
        <v>666</v>
      </c>
      <c r="B171">
        <v>170</v>
      </c>
      <c r="C171" t="s">
        <v>170</v>
      </c>
      <c r="D171" t="s">
        <v>570</v>
      </c>
      <c r="E171" t="str">
        <f>_xlfn.XLOOKUP(C171, idつけ作業用!E$2:E$177, idつけ作業用!H$2:H$177, "")</f>
        <v>代ヶ崎浜字向田４４番地の７</v>
      </c>
      <c r="F171" t="s">
        <v>675</v>
      </c>
      <c r="G171" t="s">
        <v>849</v>
      </c>
      <c r="H171" t="s">
        <v>675</v>
      </c>
    </row>
    <row r="172" spans="1:8">
      <c r="A172" t="s">
        <v>666</v>
      </c>
      <c r="B172">
        <v>171</v>
      </c>
      <c r="C172" t="s">
        <v>171</v>
      </c>
      <c r="D172" t="s">
        <v>571</v>
      </c>
      <c r="E172" t="str">
        <f>_xlfn.XLOOKUP(C172, idつけ作業用!E$2:E$177, idつけ作業用!H$2:H$177, "")</f>
        <v>仙台市青葉区土樋１－１－２２－８０１</v>
      </c>
      <c r="F172" t="s">
        <v>675</v>
      </c>
      <c r="G172" t="s">
        <v>850</v>
      </c>
      <c r="H172" t="s">
        <v>675</v>
      </c>
    </row>
    <row r="173" spans="1:8">
      <c r="A173" t="s">
        <v>666</v>
      </c>
      <c r="B173">
        <v>172</v>
      </c>
      <c r="C173" t="s">
        <v>172</v>
      </c>
      <c r="D173" t="s">
        <v>572</v>
      </c>
      <c r="E173" t="str">
        <f>_xlfn.XLOOKUP(C173, idつけ作業用!E$2:E$177, idつけ作業用!H$2:H$177, "")</f>
        <v>代ヶ崎浜字向田４４－２</v>
      </c>
      <c r="F173" t="s">
        <v>675</v>
      </c>
      <c r="G173" t="s">
        <v>851</v>
      </c>
      <c r="H173" t="s">
        <v>675</v>
      </c>
    </row>
    <row r="174" spans="1:8">
      <c r="A174" t="s">
        <v>666</v>
      </c>
      <c r="B174">
        <v>173</v>
      </c>
      <c r="C174" t="s">
        <v>173</v>
      </c>
      <c r="D174" t="s">
        <v>573</v>
      </c>
      <c r="E174" t="str">
        <f>_xlfn.XLOOKUP(C174, idつけ作業用!E$2:E$177, idつけ作業用!H$2:H$177, "")</f>
        <v>代ヶ崎浜字向田４３番地の１</v>
      </c>
      <c r="F174" t="s">
        <v>675</v>
      </c>
      <c r="G174" t="s">
        <v>852</v>
      </c>
      <c r="H174" t="s">
        <v>675</v>
      </c>
    </row>
    <row r="175" spans="1:8">
      <c r="A175" t="s">
        <v>666</v>
      </c>
      <c r="B175">
        <v>174</v>
      </c>
      <c r="C175" t="s">
        <v>174</v>
      </c>
      <c r="D175" t="s">
        <v>574</v>
      </c>
      <c r="E175" t="str">
        <f>_xlfn.XLOOKUP(C175, idつけ作業用!E$2:E$177, idつけ作業用!H$2:H$177, "")</f>
        <v>境山２丁目１１－１０</v>
      </c>
      <c r="F175" t="s">
        <v>675</v>
      </c>
      <c r="G175" t="s">
        <v>853</v>
      </c>
      <c r="H175" t="s">
        <v>675</v>
      </c>
    </row>
    <row r="176" spans="1:8">
      <c r="A176" t="s">
        <v>666</v>
      </c>
      <c r="B176">
        <v>175</v>
      </c>
      <c r="C176" t="s">
        <v>175</v>
      </c>
      <c r="D176" t="s">
        <v>575</v>
      </c>
      <c r="E176" t="str">
        <f>_xlfn.XLOOKUP(C176, idつけ作業用!E$2:E$177, idつけ作業用!H$2:H$177, "")</f>
        <v>代ヶ崎浜字西２１番地の３４</v>
      </c>
      <c r="F176" t="s">
        <v>675</v>
      </c>
      <c r="G176" t="s">
        <v>854</v>
      </c>
      <c r="H176" t="s">
        <v>675</v>
      </c>
    </row>
    <row r="177" spans="1:8">
      <c r="A177" t="s">
        <v>666</v>
      </c>
      <c r="B177">
        <v>176</v>
      </c>
      <c r="C177" t="s">
        <v>176</v>
      </c>
      <c r="D177" t="s">
        <v>576</v>
      </c>
      <c r="E177" t="str">
        <f>_xlfn.XLOOKUP(C177, idつけ作業用!E$2:E$177, idつけ作業用!H$2:H$177, "")</f>
        <v>代ヶ崎浜字向田５１－１</v>
      </c>
      <c r="F177" t="s">
        <v>669</v>
      </c>
      <c r="G177" t="s">
        <v>855</v>
      </c>
      <c r="H177" t="s">
        <v>675</v>
      </c>
    </row>
    <row r="178" spans="1:8">
      <c r="A178" t="s">
        <v>666</v>
      </c>
      <c r="B178">
        <v>177</v>
      </c>
      <c r="C178" t="s">
        <v>177</v>
      </c>
      <c r="D178" t="s">
        <v>577</v>
      </c>
      <c r="E178" t="str">
        <f>_xlfn.XLOOKUP(C178, idつけ作業用!E$2:E$177, idつけ作業用!H$2:H$177, "")</f>
        <v>多賀城市留ヶ谷３丁目５番１４号コーポおばた１０３号室</v>
      </c>
      <c r="F178" t="s">
        <v>675</v>
      </c>
      <c r="G178" t="s">
        <v>856</v>
      </c>
      <c r="H178" t="s">
        <v>675</v>
      </c>
    </row>
    <row r="179" spans="1:8">
      <c r="A179" t="s">
        <v>666</v>
      </c>
      <c r="B179">
        <v>178</v>
      </c>
      <c r="C179" t="s">
        <v>178</v>
      </c>
      <c r="D179" t="s">
        <v>578</v>
      </c>
      <c r="E179" t="str">
        <f>_xlfn.XLOOKUP(C179, idつけ作業用!E$2:E$177, idつけ作業用!H$2:H$177, "")</f>
        <v/>
      </c>
      <c r="F179" t="s">
        <v>669</v>
      </c>
      <c r="G179" t="s">
        <v>857</v>
      </c>
      <c r="H179" t="s">
        <v>675</v>
      </c>
    </row>
    <row r="180" spans="1:8">
      <c r="A180" t="s">
        <v>666</v>
      </c>
      <c r="B180">
        <v>179</v>
      </c>
      <c r="C180" t="s">
        <v>179</v>
      </c>
      <c r="D180" t="s">
        <v>579</v>
      </c>
      <c r="E180" t="str">
        <f>_xlfn.XLOOKUP(C180, idつけ作業用!E$2:E$177, idつけ作業用!H$2:H$177, "")</f>
        <v>代ヶ崎浜字影田６番地の４</v>
      </c>
      <c r="F180" t="s">
        <v>675</v>
      </c>
      <c r="G180" t="s">
        <v>858</v>
      </c>
      <c r="H180" t="s">
        <v>675</v>
      </c>
    </row>
    <row r="181" spans="1:8">
      <c r="A181" t="s">
        <v>666</v>
      </c>
      <c r="B181">
        <v>180</v>
      </c>
      <c r="C181" t="s">
        <v>180</v>
      </c>
      <c r="D181" t="s">
        <v>580</v>
      </c>
      <c r="E181" t="str">
        <f>_xlfn.XLOOKUP(C181, idつけ作業用!E$2:E$177, idつけ作業用!H$2:H$177, "")</f>
        <v/>
      </c>
      <c r="F181" t="s">
        <v>675</v>
      </c>
      <c r="G181" t="s">
        <v>859</v>
      </c>
      <c r="H181" t="s">
        <v>675</v>
      </c>
    </row>
    <row r="182" spans="1:8">
      <c r="A182" t="s">
        <v>666</v>
      </c>
      <c r="B182">
        <v>181</v>
      </c>
      <c r="C182" t="s">
        <v>181</v>
      </c>
      <c r="D182" t="s">
        <v>581</v>
      </c>
      <c r="E182" t="str">
        <f>_xlfn.XLOOKUP(C182, idつけ作業用!E$2:E$177, idつけ作業用!H$2:H$177, "")</f>
        <v>七ヶ浜町吉田浜字野山１番地の２七ヶ浜第１スポーツ広場応急仮設住宅</v>
      </c>
      <c r="F182" t="s">
        <v>675</v>
      </c>
      <c r="G182" t="s">
        <v>860</v>
      </c>
      <c r="H182" t="s">
        <v>675</v>
      </c>
    </row>
    <row r="183" spans="1:8">
      <c r="A183" t="s">
        <v>666</v>
      </c>
      <c r="B183">
        <v>182</v>
      </c>
      <c r="C183" t="s">
        <v>182</v>
      </c>
      <c r="D183" t="s">
        <v>582</v>
      </c>
      <c r="E183" t="str">
        <f>_xlfn.XLOOKUP(C183, idつけ作業用!E$2:E$177, idつけ作業用!H$2:H$177, "")</f>
        <v>七ヶ浜町吉田浜字野山１番地の２七ヶ浜第１スポーツ広場応急仮設住宅</v>
      </c>
      <c r="F183" t="s">
        <v>675</v>
      </c>
      <c r="G183" t="s">
        <v>861</v>
      </c>
      <c r="H183" t="s">
        <v>675</v>
      </c>
    </row>
    <row r="184" spans="1:8">
      <c r="A184" t="s">
        <v>666</v>
      </c>
      <c r="B184">
        <v>183</v>
      </c>
      <c r="C184" t="s">
        <v>183</v>
      </c>
      <c r="D184" t="s">
        <v>583</v>
      </c>
      <c r="E184" t="str">
        <f>_xlfn.XLOOKUP(C184, idつけ作業用!E$2:E$177, idつけ作業用!H$2:H$177, "")</f>
        <v>代ヶ崎浜字八ヶ森３１番地</v>
      </c>
      <c r="F184" t="s">
        <v>669</v>
      </c>
      <c r="G184" t="s">
        <v>862</v>
      </c>
      <c r="H184" t="s">
        <v>675</v>
      </c>
    </row>
    <row r="185" spans="1:8">
      <c r="A185" t="s">
        <v>666</v>
      </c>
      <c r="B185">
        <v>184</v>
      </c>
      <c r="C185" t="s">
        <v>184</v>
      </c>
      <c r="D185" t="s">
        <v>584</v>
      </c>
      <c r="E185" t="str">
        <f>_xlfn.XLOOKUP(C185, idつけ作業用!E$2:E$177, idつけ作業用!H$2:H$177, "")</f>
        <v/>
      </c>
      <c r="F185" t="s">
        <v>669</v>
      </c>
      <c r="G185" t="s">
        <v>669</v>
      </c>
      <c r="H185" t="s">
        <v>669</v>
      </c>
    </row>
    <row r="186" spans="1:8">
      <c r="A186" t="s">
        <v>666</v>
      </c>
      <c r="B186">
        <v>185</v>
      </c>
      <c r="C186" t="s">
        <v>185</v>
      </c>
      <c r="D186" t="s">
        <v>585</v>
      </c>
      <c r="E186" t="str">
        <f>_xlfn.XLOOKUP(C186, idつけ作業用!E$2:E$177, idつけ作業用!H$2:H$177, "")</f>
        <v>七ヶ浜町吉田浜字野山１番地の２七ヶ浜第１スポーツ広場応急仮設住宅</v>
      </c>
      <c r="F186" t="s">
        <v>675</v>
      </c>
      <c r="G186" t="s">
        <v>863</v>
      </c>
      <c r="H186" t="s">
        <v>675</v>
      </c>
    </row>
    <row r="187" spans="1:8">
      <c r="A187" t="s">
        <v>666</v>
      </c>
      <c r="B187">
        <v>186</v>
      </c>
      <c r="C187" t="s">
        <v>186</v>
      </c>
      <c r="D187" t="s">
        <v>586</v>
      </c>
      <c r="E187" t="str">
        <f>_xlfn.XLOOKUP(C187, idつけ作業用!E$2:E$177, idつけ作業用!H$2:H$177, "")</f>
        <v>代ヶ崎字向田４４－５</v>
      </c>
      <c r="F187" t="s">
        <v>675</v>
      </c>
      <c r="G187" t="s">
        <v>864</v>
      </c>
      <c r="H187" t="s">
        <v>675</v>
      </c>
    </row>
    <row r="188" spans="1:8">
      <c r="A188" t="s">
        <v>666</v>
      </c>
      <c r="B188">
        <v>187</v>
      </c>
      <c r="C188" t="s">
        <v>187</v>
      </c>
      <c r="D188" t="s">
        <v>587</v>
      </c>
      <c r="E188" t="str">
        <f>_xlfn.XLOOKUP(C188, idつけ作業用!E$2:E$177, idつけ作業用!H$2:H$177, "")</f>
        <v>塩釜市香津町９－８コウヅビレッジＡ２０１号室</v>
      </c>
      <c r="F188" t="s">
        <v>675</v>
      </c>
      <c r="G188" t="s">
        <v>865</v>
      </c>
      <c r="H188" t="s">
        <v>675</v>
      </c>
    </row>
    <row r="189" spans="1:8">
      <c r="A189" t="s">
        <v>666</v>
      </c>
      <c r="B189">
        <v>188</v>
      </c>
      <c r="C189" t="s">
        <v>188</v>
      </c>
      <c r="D189" t="s">
        <v>588</v>
      </c>
      <c r="E189" t="str">
        <f>_xlfn.XLOOKUP(C189, idつけ作業用!E$2:E$177, idつけ作業用!H$2:H$177, "")</f>
        <v/>
      </c>
      <c r="F189" t="s">
        <v>669</v>
      </c>
      <c r="G189" t="s">
        <v>866</v>
      </c>
      <c r="H189" t="s">
        <v>675</v>
      </c>
    </row>
    <row r="190" spans="1:8">
      <c r="A190" t="s">
        <v>666</v>
      </c>
      <c r="B190">
        <v>189</v>
      </c>
      <c r="C190" t="s">
        <v>189</v>
      </c>
      <c r="D190" t="s">
        <v>589</v>
      </c>
      <c r="E190" t="str">
        <f>_xlfn.XLOOKUP(C190, idつけ作業用!E$2:E$177, idつけ作業用!H$2:H$177, "")</f>
        <v>代ヶ崎浜字向田４２番地の７</v>
      </c>
      <c r="F190" t="s">
        <v>675</v>
      </c>
      <c r="G190" t="s">
        <v>867</v>
      </c>
      <c r="H190" t="s">
        <v>675</v>
      </c>
    </row>
    <row r="191" spans="1:8">
      <c r="A191" t="s">
        <v>666</v>
      </c>
      <c r="B191">
        <v>190</v>
      </c>
      <c r="C191" t="s">
        <v>190</v>
      </c>
      <c r="D191" t="s">
        <v>590</v>
      </c>
      <c r="E191" t="str">
        <f>_xlfn.XLOOKUP(C191, idつけ作業用!E$2:E$177, idつけ作業用!H$2:H$177, "")</f>
        <v>七ヶ浜町吉田浜字野山１番地の２七ヶ浜第１スポーツ広場応急仮設住宅</v>
      </c>
      <c r="F191" t="s">
        <v>675</v>
      </c>
      <c r="G191" t="s">
        <v>669</v>
      </c>
      <c r="H191" t="s">
        <v>669</v>
      </c>
    </row>
    <row r="192" spans="1:8">
      <c r="A192" t="s">
        <v>666</v>
      </c>
      <c r="B192">
        <v>191</v>
      </c>
      <c r="C192" t="s">
        <v>191</v>
      </c>
      <c r="D192" t="s">
        <v>591</v>
      </c>
      <c r="E192" t="str">
        <f>_xlfn.XLOOKUP(C192, idつけ作業用!E$2:E$177, idつけ作業用!H$2:H$177, "")</f>
        <v>多賀城市東田中１丁目１－２ラ・マムーニア２０１号室</v>
      </c>
      <c r="F192" t="s">
        <v>675</v>
      </c>
      <c r="G192" t="s">
        <v>868</v>
      </c>
      <c r="H192" t="s">
        <v>675</v>
      </c>
    </row>
    <row r="193" spans="1:8">
      <c r="A193" t="s">
        <v>666</v>
      </c>
      <c r="B193">
        <v>192</v>
      </c>
      <c r="C193" t="s">
        <v>192</v>
      </c>
      <c r="D193" t="s">
        <v>592</v>
      </c>
      <c r="E193" t="str">
        <f>_xlfn.XLOOKUP(C193, idつけ作業用!E$2:E$177, idつけ作業用!H$2:H$177, "")</f>
        <v>七ヶ浜町吉田浜字野山１番地の２七ヶ浜第１スポーツ広場応急仮設住宅</v>
      </c>
      <c r="F193" t="s">
        <v>669</v>
      </c>
      <c r="G193" t="s">
        <v>699</v>
      </c>
      <c r="H193" t="s">
        <v>675</v>
      </c>
    </row>
    <row r="194" spans="1:8">
      <c r="A194" t="s">
        <v>666</v>
      </c>
      <c r="B194">
        <v>193</v>
      </c>
      <c r="C194" t="s">
        <v>193</v>
      </c>
      <c r="D194" t="s">
        <v>593</v>
      </c>
      <c r="E194" t="str">
        <f>_xlfn.XLOOKUP(C194, idつけ作業用!E$2:E$177, idつけ作業用!H$2:H$177, "")</f>
        <v>代ヶ崎浜字立花２４番地</v>
      </c>
      <c r="F194" t="s">
        <v>669</v>
      </c>
      <c r="G194" t="s">
        <v>669</v>
      </c>
      <c r="H194" t="s">
        <v>669</v>
      </c>
    </row>
    <row r="195" spans="1:8">
      <c r="A195" t="s">
        <v>666</v>
      </c>
      <c r="B195">
        <v>194</v>
      </c>
      <c r="C195" t="s">
        <v>194</v>
      </c>
      <c r="D195" t="s">
        <v>594</v>
      </c>
      <c r="E195" t="str">
        <f>_xlfn.XLOOKUP(C195, idつけ作業用!E$2:E$177, idつけ作業用!H$2:H$177, "")</f>
        <v>七ヶ浜町吉田浜字野山１番地の２七ヶ浜第１スポーツ広場応急仮設住宅</v>
      </c>
      <c r="F195" t="s">
        <v>675</v>
      </c>
      <c r="G195" t="s">
        <v>869</v>
      </c>
      <c r="H195" t="s">
        <v>675</v>
      </c>
    </row>
    <row r="196" spans="1:8">
      <c r="A196" t="s">
        <v>666</v>
      </c>
      <c r="B196">
        <v>195</v>
      </c>
      <c r="C196" t="s">
        <v>195</v>
      </c>
      <c r="D196" t="s">
        <v>595</v>
      </c>
      <c r="E196" t="str">
        <f>_xlfn.XLOOKUP(C196, idつけ作業用!E$2:E$177, idつけ作業用!H$2:H$177, "")</f>
        <v>東宮浜字鶴ヶ湊８１番地の３</v>
      </c>
      <c r="F196" t="s">
        <v>676</v>
      </c>
      <c r="G196" t="s">
        <v>870</v>
      </c>
      <c r="H196" t="s">
        <v>676</v>
      </c>
    </row>
    <row r="197" spans="1:8">
      <c r="A197" t="s">
        <v>666</v>
      </c>
      <c r="B197">
        <v>196</v>
      </c>
      <c r="C197" t="s">
        <v>196</v>
      </c>
      <c r="D197" t="s">
        <v>596</v>
      </c>
      <c r="E197" t="str">
        <f>_xlfn.XLOOKUP(C197, idつけ作業用!E$2:E$177, idつけ作業用!H$2:H$177, "")</f>
        <v>東宮浜字東兼田１０番地の１</v>
      </c>
      <c r="F197" t="s">
        <v>676</v>
      </c>
      <c r="G197" t="s">
        <v>871</v>
      </c>
      <c r="H197" t="s">
        <v>676</v>
      </c>
    </row>
    <row r="198" spans="1:8">
      <c r="A198" t="s">
        <v>666</v>
      </c>
      <c r="B198">
        <v>197</v>
      </c>
      <c r="C198" t="s">
        <v>197</v>
      </c>
      <c r="D198" t="s">
        <v>597</v>
      </c>
      <c r="E198" t="str">
        <f>_xlfn.XLOOKUP(C198, idつけ作業用!E$2:E$177, idつけ作業用!H$2:H$177, "")</f>
        <v>東宮浜字穴切１０番地の１０</v>
      </c>
      <c r="F198" t="s">
        <v>676</v>
      </c>
      <c r="G198" t="s">
        <v>872</v>
      </c>
      <c r="H198" t="s">
        <v>676</v>
      </c>
    </row>
    <row r="199" spans="1:8">
      <c r="A199" t="s">
        <v>666</v>
      </c>
      <c r="B199">
        <v>198</v>
      </c>
      <c r="C199" t="s">
        <v>198</v>
      </c>
      <c r="D199" t="s">
        <v>598</v>
      </c>
      <c r="E199" t="str">
        <f>_xlfn.XLOOKUP(C199, idつけ作業用!E$2:E$177, idつけ作業用!H$2:H$177, "")</f>
        <v>東宮浜字西浦田１番地の１０</v>
      </c>
      <c r="F199" t="s">
        <v>676</v>
      </c>
      <c r="G199" t="s">
        <v>873</v>
      </c>
      <c r="H199" t="s">
        <v>676</v>
      </c>
    </row>
    <row r="200" spans="1:8">
      <c r="A200" t="s">
        <v>666</v>
      </c>
      <c r="B200">
        <v>199</v>
      </c>
      <c r="C200" t="s">
        <v>199</v>
      </c>
      <c r="D200" t="s">
        <v>599</v>
      </c>
      <c r="E200" t="str">
        <f>_xlfn.XLOOKUP(C200, idつけ作業用!E$2:E$177, idつけ作業用!H$2:H$177, "")</f>
        <v>東宮浜字上ノ台２番地</v>
      </c>
      <c r="F200" t="s">
        <v>676</v>
      </c>
      <c r="G200" t="s">
        <v>683</v>
      </c>
      <c r="H200" t="s">
        <v>676</v>
      </c>
    </row>
    <row r="201" spans="1:8">
      <c r="A201" t="s">
        <v>666</v>
      </c>
      <c r="B201">
        <v>200</v>
      </c>
      <c r="C201" t="s">
        <v>200</v>
      </c>
      <c r="D201" t="s">
        <v>600</v>
      </c>
      <c r="E201" t="str">
        <f>_xlfn.XLOOKUP(C201, idつけ作業用!E$2:E$177, idつけ作業用!H$2:H$177, "")</f>
        <v/>
      </c>
      <c r="F201" t="s">
        <v>669</v>
      </c>
      <c r="G201" t="s">
        <v>669</v>
      </c>
      <c r="H201" t="s">
        <v>669</v>
      </c>
    </row>
    <row r="202" spans="1:8">
      <c r="A202" t="s">
        <v>666</v>
      </c>
      <c r="B202">
        <v>201</v>
      </c>
      <c r="C202" t="s">
        <v>201</v>
      </c>
      <c r="D202" t="s">
        <v>601</v>
      </c>
      <c r="E202" t="str">
        <f>_xlfn.XLOOKUP(C202, idつけ作業用!E$2:E$177, idつけ作業用!H$2:H$177, "")</f>
        <v>東宮浜字鶴ヶ湊３３番地</v>
      </c>
      <c r="F202" t="s">
        <v>669</v>
      </c>
      <c r="G202" t="s">
        <v>874</v>
      </c>
      <c r="H202" t="s">
        <v>676</v>
      </c>
    </row>
    <row r="203" spans="1:8">
      <c r="A203" t="s">
        <v>666</v>
      </c>
      <c r="B203">
        <v>202</v>
      </c>
      <c r="C203" t="s">
        <v>202</v>
      </c>
      <c r="D203" t="s">
        <v>602</v>
      </c>
      <c r="E203" t="str">
        <f>_xlfn.XLOOKUP(C203, idつけ作業用!E$2:E$177, idつけ作業用!H$2:H$177, "")</f>
        <v/>
      </c>
      <c r="F203" t="s">
        <v>669</v>
      </c>
      <c r="G203" t="s">
        <v>875</v>
      </c>
      <c r="H203" t="s">
        <v>676</v>
      </c>
    </row>
    <row r="204" spans="1:8">
      <c r="A204" t="s">
        <v>666</v>
      </c>
      <c r="B204">
        <v>203</v>
      </c>
      <c r="C204" t="s">
        <v>718</v>
      </c>
      <c r="D204" t="s">
        <v>603</v>
      </c>
      <c r="E204" t="str">
        <f>_xlfn.XLOOKUP(C204, idつけ作業用!E$2:E$177, idつけ作業用!H$2:H$177, "")</f>
        <v>東宮浜字浜辺１７番地の３</v>
      </c>
      <c r="F204" t="s">
        <v>676</v>
      </c>
      <c r="G204" t="s">
        <v>876</v>
      </c>
      <c r="H204" t="s">
        <v>676</v>
      </c>
    </row>
    <row r="205" spans="1:8">
      <c r="A205" t="s">
        <v>666</v>
      </c>
      <c r="B205">
        <v>204</v>
      </c>
      <c r="C205" t="s">
        <v>204</v>
      </c>
      <c r="D205" t="s">
        <v>604</v>
      </c>
      <c r="E205" t="str">
        <f>_xlfn.XLOOKUP(C205, idつけ作業用!E$2:E$177, idつけ作業用!H$2:H$177, "")</f>
        <v>汐見台南２１４－１</v>
      </c>
      <c r="F205" t="s">
        <v>669</v>
      </c>
      <c r="G205" t="s">
        <v>669</v>
      </c>
      <c r="H205" t="s">
        <v>669</v>
      </c>
    </row>
    <row r="206" spans="1:8">
      <c r="A206" t="s">
        <v>666</v>
      </c>
      <c r="B206">
        <v>205</v>
      </c>
      <c r="C206" t="s">
        <v>205</v>
      </c>
      <c r="D206" t="s">
        <v>600</v>
      </c>
      <c r="E206" t="str">
        <f>_xlfn.XLOOKUP(C206, idつけ作業用!E$2:E$177, idつけ作業用!H$2:H$177, "")</f>
        <v>東宮浜字寺島２３番地</v>
      </c>
      <c r="F206" t="s">
        <v>669</v>
      </c>
      <c r="G206" t="s">
        <v>877</v>
      </c>
      <c r="H206" t="s">
        <v>676</v>
      </c>
    </row>
    <row r="207" spans="1:8">
      <c r="A207" t="s">
        <v>666</v>
      </c>
      <c r="B207">
        <v>206</v>
      </c>
      <c r="C207" t="s">
        <v>206</v>
      </c>
      <c r="D207" t="s">
        <v>605</v>
      </c>
      <c r="E207" t="str">
        <f>_xlfn.XLOOKUP(C207, idつけ作業用!E$2:E$177, idつけ作業用!H$2:H$177, "")</f>
        <v>東宮浜字鶴ヶ湊３５番地</v>
      </c>
      <c r="F207" t="s">
        <v>669</v>
      </c>
      <c r="G207" t="s">
        <v>878</v>
      </c>
      <c r="H207" t="s">
        <v>676</v>
      </c>
    </row>
    <row r="208" spans="1:8">
      <c r="A208" t="s">
        <v>666</v>
      </c>
      <c r="B208">
        <v>207</v>
      </c>
      <c r="C208" t="s">
        <v>207</v>
      </c>
      <c r="D208" t="s">
        <v>606</v>
      </c>
      <c r="E208" t="str">
        <f>_xlfn.XLOOKUP(C208, idつけ作業用!E$2:E$177, idつけ作業用!H$2:H$177, "")</f>
        <v/>
      </c>
      <c r="F208" t="s">
        <v>676</v>
      </c>
      <c r="G208" t="s">
        <v>879</v>
      </c>
      <c r="H208" t="s">
        <v>676</v>
      </c>
    </row>
    <row r="209" spans="1:8">
      <c r="A209" t="s">
        <v>666</v>
      </c>
      <c r="B209">
        <v>208</v>
      </c>
      <c r="C209" t="s">
        <v>208</v>
      </c>
      <c r="D209" t="s">
        <v>607</v>
      </c>
      <c r="E209" t="str">
        <f>_xlfn.XLOOKUP(C209, idつけ作業用!E$2:E$177, idつけ作業用!H$2:H$177, "")</f>
        <v/>
      </c>
      <c r="F209" t="s">
        <v>669</v>
      </c>
      <c r="G209" t="s">
        <v>880</v>
      </c>
      <c r="H209" t="s">
        <v>676</v>
      </c>
    </row>
    <row r="210" spans="1:8">
      <c r="A210" t="s">
        <v>666</v>
      </c>
      <c r="B210">
        <v>209</v>
      </c>
      <c r="C210" t="s">
        <v>209</v>
      </c>
      <c r="D210" t="s">
        <v>608</v>
      </c>
      <c r="E210" t="str">
        <f>_xlfn.XLOOKUP(C210, idつけ作業用!E$2:E$177, idつけ作業用!H$2:H$177, "")</f>
        <v>東宮浜字鶴ヶ湊７５番地の１</v>
      </c>
      <c r="F210" t="s">
        <v>676</v>
      </c>
      <c r="G210" t="s">
        <v>881</v>
      </c>
      <c r="H210" t="s">
        <v>676</v>
      </c>
    </row>
    <row r="211" spans="1:8">
      <c r="A211" t="s">
        <v>666</v>
      </c>
      <c r="B211">
        <v>210</v>
      </c>
      <c r="C211" t="s">
        <v>210</v>
      </c>
      <c r="D211" t="s">
        <v>609</v>
      </c>
      <c r="E211" t="str">
        <f>_xlfn.XLOOKUP(C211, idつけ作業用!E$2:E$177, idつけ作業用!H$2:H$177, "")</f>
        <v>東宮浜字寺島１６番地の１</v>
      </c>
      <c r="F211" t="s">
        <v>676</v>
      </c>
      <c r="G211" t="s">
        <v>882</v>
      </c>
      <c r="H211" t="s">
        <v>676</v>
      </c>
    </row>
    <row r="212" spans="1:8">
      <c r="A212" t="s">
        <v>666</v>
      </c>
      <c r="B212">
        <v>211</v>
      </c>
      <c r="C212" t="s">
        <v>211</v>
      </c>
      <c r="D212" t="s">
        <v>610</v>
      </c>
      <c r="E212" t="str">
        <f>_xlfn.XLOOKUP(C212, idつけ作業用!E$2:E$177, idつけ作業用!H$2:H$177, "")</f>
        <v>東宮浜字丑山１１番地の１</v>
      </c>
      <c r="F212" t="s">
        <v>676</v>
      </c>
      <c r="G212" t="s">
        <v>883</v>
      </c>
      <c r="H212" t="s">
        <v>676</v>
      </c>
    </row>
    <row r="213" spans="1:8">
      <c r="A213" t="s">
        <v>666</v>
      </c>
      <c r="B213">
        <v>212</v>
      </c>
      <c r="C213" t="s">
        <v>212</v>
      </c>
      <c r="D213" t="s">
        <v>611</v>
      </c>
      <c r="E213" t="str">
        <f>_xlfn.XLOOKUP(C213, idつけ作業用!E$2:E$177, idつけ作業用!H$2:H$177, "")</f>
        <v>東宮浜字鶴ヶ湊５１番地</v>
      </c>
      <c r="F213" t="s">
        <v>669</v>
      </c>
      <c r="G213" t="s">
        <v>669</v>
      </c>
      <c r="H213" t="s">
        <v>669</v>
      </c>
    </row>
    <row r="214" spans="1:8">
      <c r="A214" t="s">
        <v>666</v>
      </c>
      <c r="B214">
        <v>213</v>
      </c>
      <c r="C214" t="s">
        <v>213</v>
      </c>
      <c r="D214" t="s">
        <v>612</v>
      </c>
      <c r="E214" t="str">
        <f>_xlfn.XLOOKUP(C214, idつけ作業用!E$2:E$177, idつけ作業用!H$2:H$177, "")</f>
        <v/>
      </c>
      <c r="F214" t="s">
        <v>676</v>
      </c>
      <c r="G214" t="s">
        <v>884</v>
      </c>
      <c r="H214" t="s">
        <v>676</v>
      </c>
    </row>
    <row r="215" spans="1:8">
      <c r="A215" t="s">
        <v>666</v>
      </c>
      <c r="B215">
        <v>214</v>
      </c>
      <c r="C215" t="s">
        <v>214</v>
      </c>
      <c r="D215" t="s">
        <v>613</v>
      </c>
      <c r="E215" t="str">
        <f>_xlfn.XLOOKUP(C215, idつけ作業用!E$2:E$177, idつけ作業用!H$2:H$177, "")</f>
        <v>東宮浜字神明８番地の１</v>
      </c>
      <c r="F215" t="s">
        <v>669</v>
      </c>
      <c r="G215" t="s">
        <v>885</v>
      </c>
      <c r="H215" t="s">
        <v>676</v>
      </c>
    </row>
    <row r="216" spans="1:8">
      <c r="A216" t="s">
        <v>666</v>
      </c>
      <c r="B216">
        <v>215</v>
      </c>
      <c r="C216" t="s">
        <v>215</v>
      </c>
      <c r="D216" t="s">
        <v>614</v>
      </c>
      <c r="E216" t="str">
        <f>_xlfn.XLOOKUP(C216, idつけ作業用!E$2:E$177, idつけ作業用!H$2:H$177, "")</f>
        <v>東宮浜字鶴ヶ湊６１番地</v>
      </c>
      <c r="F216" t="s">
        <v>676</v>
      </c>
      <c r="G216" t="s">
        <v>886</v>
      </c>
      <c r="H216" t="s">
        <v>676</v>
      </c>
    </row>
    <row r="217" spans="1:8">
      <c r="A217" t="s">
        <v>666</v>
      </c>
      <c r="B217">
        <v>216</v>
      </c>
      <c r="C217" t="s">
        <v>216</v>
      </c>
      <c r="D217" t="s">
        <v>615</v>
      </c>
      <c r="E217" t="str">
        <f>_xlfn.XLOOKUP(C217, idつけ作業用!E$2:E$177, idつけ作業用!H$2:H$177, "")</f>
        <v/>
      </c>
      <c r="F217" t="s">
        <v>669</v>
      </c>
      <c r="G217" t="s">
        <v>669</v>
      </c>
      <c r="H217" t="s">
        <v>669</v>
      </c>
    </row>
    <row r="218" spans="1:8">
      <c r="A218" t="s">
        <v>666</v>
      </c>
      <c r="B218">
        <v>217</v>
      </c>
      <c r="C218" t="s">
        <v>217</v>
      </c>
      <c r="D218" t="s">
        <v>616</v>
      </c>
      <c r="E218" t="str">
        <f>_xlfn.XLOOKUP(C218, idつけ作業用!E$2:E$177, idつけ作業用!H$2:H$177, "")</f>
        <v/>
      </c>
      <c r="F218" t="s">
        <v>677</v>
      </c>
      <c r="G218" t="s">
        <v>887</v>
      </c>
      <c r="H218" t="s">
        <v>677</v>
      </c>
    </row>
    <row r="219" spans="1:8">
      <c r="A219" t="s">
        <v>666</v>
      </c>
      <c r="B219">
        <v>218</v>
      </c>
      <c r="C219" t="s">
        <v>218</v>
      </c>
      <c r="D219" t="s">
        <v>617</v>
      </c>
      <c r="E219" t="str">
        <f>_xlfn.XLOOKUP(C219, idつけ作業用!E$2:E$177, idつけ作業用!H$2:H$177, "")</f>
        <v/>
      </c>
      <c r="F219" t="s">
        <v>669</v>
      </c>
      <c r="G219" t="s">
        <v>888</v>
      </c>
      <c r="H219" t="s">
        <v>677</v>
      </c>
    </row>
    <row r="220" spans="1:8">
      <c r="A220" t="s">
        <v>666</v>
      </c>
      <c r="B220">
        <v>219</v>
      </c>
      <c r="C220" t="s">
        <v>219</v>
      </c>
      <c r="D220" t="s">
        <v>618</v>
      </c>
      <c r="E220" t="str">
        <f>_xlfn.XLOOKUP(C220, idつけ作業用!E$2:E$177, idつけ作業用!H$2:H$177, "")</f>
        <v/>
      </c>
      <c r="F220" t="s">
        <v>669</v>
      </c>
      <c r="G220" t="s">
        <v>669</v>
      </c>
      <c r="H220" t="s">
        <v>669</v>
      </c>
    </row>
    <row r="221" spans="1:8">
      <c r="A221" t="s">
        <v>666</v>
      </c>
      <c r="B221">
        <v>220</v>
      </c>
      <c r="C221" t="s">
        <v>220</v>
      </c>
      <c r="D221" t="s">
        <v>619</v>
      </c>
      <c r="E221" t="str">
        <f>_xlfn.XLOOKUP(C221, idつけ作業用!E$2:E$177, idつけ作業用!H$2:H$177, "")</f>
        <v>東宮浜字小田２３番地の１</v>
      </c>
      <c r="F221" t="s">
        <v>677</v>
      </c>
      <c r="G221" t="s">
        <v>889</v>
      </c>
      <c r="H221" t="s">
        <v>677</v>
      </c>
    </row>
    <row r="222" spans="1:8">
      <c r="A222" t="s">
        <v>666</v>
      </c>
      <c r="B222">
        <v>221</v>
      </c>
      <c r="C222" t="s">
        <v>221</v>
      </c>
      <c r="D222" t="s">
        <v>620</v>
      </c>
      <c r="E222" t="str">
        <f>_xlfn.XLOOKUP(C222, idつけ作業用!E$2:E$177, idつけ作業用!H$2:H$177, "")</f>
        <v>東宮浜字要害２１番地</v>
      </c>
      <c r="F222" t="s">
        <v>677</v>
      </c>
      <c r="G222" t="s">
        <v>890</v>
      </c>
      <c r="H222" t="s">
        <v>677</v>
      </c>
    </row>
    <row r="223" spans="1:8">
      <c r="A223" t="s">
        <v>666</v>
      </c>
      <c r="B223">
        <v>222</v>
      </c>
      <c r="C223" t="s">
        <v>222</v>
      </c>
      <c r="D223" t="s">
        <v>621</v>
      </c>
      <c r="E223" t="str">
        <f>_xlfn.XLOOKUP(C223, idつけ作業用!E$2:E$177, idつけ作業用!H$2:H$177, "")</f>
        <v>東宮浜字小田２７番地の３</v>
      </c>
      <c r="F223" t="s">
        <v>669</v>
      </c>
      <c r="G223" t="s">
        <v>891</v>
      </c>
      <c r="H223" t="s">
        <v>677</v>
      </c>
    </row>
    <row r="224" spans="1:8">
      <c r="A224" t="s">
        <v>666</v>
      </c>
      <c r="B224">
        <v>223</v>
      </c>
      <c r="C224" t="s">
        <v>223</v>
      </c>
      <c r="D224" t="s">
        <v>622</v>
      </c>
      <c r="E224" t="str">
        <f>_xlfn.XLOOKUP(C224, idつけ作業用!E$2:E$177, idつけ作業用!H$2:H$177, "")</f>
        <v/>
      </c>
      <c r="F224" t="s">
        <v>677</v>
      </c>
      <c r="G224" t="s">
        <v>892</v>
      </c>
      <c r="H224" t="s">
        <v>677</v>
      </c>
    </row>
    <row r="225" spans="1:8">
      <c r="A225" t="s">
        <v>666</v>
      </c>
      <c r="B225">
        <v>224</v>
      </c>
      <c r="C225" t="s">
        <v>224</v>
      </c>
      <c r="D225" t="s">
        <v>623</v>
      </c>
      <c r="E225" t="str">
        <f>_xlfn.XLOOKUP(C225, idつけ作業用!E$2:E$177, idつけ作業用!H$2:H$177, "")</f>
        <v>東宮浜字東兼田１１番地の３</v>
      </c>
      <c r="F225" t="s">
        <v>669</v>
      </c>
      <c r="G225" t="s">
        <v>893</v>
      </c>
      <c r="H225" t="s">
        <v>676</v>
      </c>
    </row>
    <row r="226" spans="1:8">
      <c r="A226" t="s">
        <v>666</v>
      </c>
      <c r="B226">
        <v>225</v>
      </c>
      <c r="C226" t="s">
        <v>225</v>
      </c>
      <c r="D226" t="s">
        <v>624</v>
      </c>
      <c r="E226" t="str">
        <f>_xlfn.XLOOKUP(C226, idつけ作業用!E$2:E$177, idつけ作業用!H$2:H$177, "")</f>
        <v>東宮浜字要害４番地</v>
      </c>
      <c r="F226" t="s">
        <v>677</v>
      </c>
      <c r="G226" t="s">
        <v>894</v>
      </c>
      <c r="H226" t="s">
        <v>677</v>
      </c>
    </row>
    <row r="227" spans="1:8">
      <c r="A227" t="s">
        <v>666</v>
      </c>
      <c r="B227">
        <v>226</v>
      </c>
      <c r="C227" t="s">
        <v>226</v>
      </c>
      <c r="D227" t="s">
        <v>625</v>
      </c>
      <c r="E227" t="str">
        <f>_xlfn.XLOOKUP(C227, idつけ作業用!E$2:E$177, idつけ作業用!H$2:H$177, "")</f>
        <v>東宮浜字吉子５６番地</v>
      </c>
      <c r="F227" t="s">
        <v>677</v>
      </c>
      <c r="G227" t="s">
        <v>895</v>
      </c>
      <c r="H227" t="s">
        <v>677</v>
      </c>
    </row>
    <row r="228" spans="1:8">
      <c r="A228" t="s">
        <v>666</v>
      </c>
      <c r="B228">
        <v>227</v>
      </c>
      <c r="C228" t="s">
        <v>227</v>
      </c>
      <c r="D228" t="s">
        <v>626</v>
      </c>
      <c r="E228" t="str">
        <f>_xlfn.XLOOKUP(C228, idつけ作業用!E$2:E$177, idつけ作業用!H$2:H$177, "")</f>
        <v>東宮浜字要害３３番地</v>
      </c>
      <c r="F228" t="s">
        <v>677</v>
      </c>
      <c r="G228" t="s">
        <v>896</v>
      </c>
      <c r="H228" t="s">
        <v>677</v>
      </c>
    </row>
    <row r="229" spans="1:8">
      <c r="A229" t="s">
        <v>666</v>
      </c>
      <c r="B229">
        <v>228</v>
      </c>
      <c r="C229" t="s">
        <v>228</v>
      </c>
      <c r="D229" t="s">
        <v>627</v>
      </c>
      <c r="E229" t="str">
        <f>_xlfn.XLOOKUP(C229, idつけ作業用!E$2:E$177, idつけ作業用!H$2:H$177, "")</f>
        <v/>
      </c>
      <c r="F229" t="s">
        <v>669</v>
      </c>
      <c r="G229" t="s">
        <v>897</v>
      </c>
      <c r="H229" t="s">
        <v>676</v>
      </c>
    </row>
    <row r="230" spans="1:8">
      <c r="A230" t="s">
        <v>666</v>
      </c>
      <c r="B230">
        <v>229</v>
      </c>
      <c r="C230" t="s">
        <v>229</v>
      </c>
      <c r="D230" t="s">
        <v>628</v>
      </c>
      <c r="E230" t="str">
        <f>_xlfn.XLOOKUP(C230, idつけ作業用!E$2:E$177, idつけ作業用!H$2:H$177, "")</f>
        <v>東宮浜字要害４７番地の１</v>
      </c>
      <c r="F230" t="s">
        <v>669</v>
      </c>
      <c r="G230" t="s">
        <v>898</v>
      </c>
      <c r="H230" t="s">
        <v>677</v>
      </c>
    </row>
    <row r="231" spans="1:8">
      <c r="A231" t="s">
        <v>666</v>
      </c>
      <c r="B231">
        <v>230</v>
      </c>
      <c r="C231" t="s">
        <v>230</v>
      </c>
      <c r="D231" t="s">
        <v>629</v>
      </c>
      <c r="E231" t="str">
        <f>_xlfn.XLOOKUP(C231, idつけ作業用!E$2:E$177, idつけ作業用!H$2:H$177, "")</f>
        <v>東宮浜字小畑２３番地</v>
      </c>
      <c r="F231" t="s">
        <v>676</v>
      </c>
      <c r="G231" t="s">
        <v>899</v>
      </c>
      <c r="H231" t="s">
        <v>676</v>
      </c>
    </row>
    <row r="232" spans="1:8">
      <c r="A232" t="s">
        <v>667</v>
      </c>
      <c r="B232">
        <v>231</v>
      </c>
      <c r="C232" s="1" t="s">
        <v>232</v>
      </c>
      <c r="E232" t="str">
        <f>_xlfn.XLOOKUP(C232, idつけ作業用!E$2:E$177, idつけ作業用!H$2:H$177, "")</f>
        <v>七ヶ浜町吉田浜字野山１番地の２七ヶ浜第１スポーツ広場応急仮設住宅</v>
      </c>
      <c r="F232" t="s">
        <v>673</v>
      </c>
      <c r="G232" t="s">
        <v>900</v>
      </c>
      <c r="H232" t="s">
        <v>673</v>
      </c>
    </row>
    <row r="233" spans="1:8">
      <c r="A233" t="s">
        <v>667</v>
      </c>
      <c r="B233">
        <v>232</v>
      </c>
      <c r="C233" t="s">
        <v>234</v>
      </c>
      <c r="E233" t="str">
        <f>_xlfn.XLOOKUP(C233, idつけ作業用!E$2:E$177, idつけ作業用!H$2:H$177, "")</f>
        <v>代ヶ崎浜字清水６２番地の３２</v>
      </c>
      <c r="F233" t="s">
        <v>669</v>
      </c>
      <c r="G233" t="s">
        <v>669</v>
      </c>
      <c r="H233" t="s">
        <v>669</v>
      </c>
    </row>
    <row r="234" spans="1:8">
      <c r="A234" t="s">
        <v>667</v>
      </c>
      <c r="B234">
        <v>233</v>
      </c>
      <c r="C234" t="s">
        <v>235</v>
      </c>
      <c r="E234" t="str">
        <f>_xlfn.XLOOKUP(C234, idつけ作業用!E$2:E$177, idつけ作業用!H$2:H$177, "")</f>
        <v>代ヶ崎浜字立花２６番地</v>
      </c>
      <c r="F234" t="s">
        <v>669</v>
      </c>
      <c r="G234" t="s">
        <v>669</v>
      </c>
      <c r="H234" t="s">
        <v>669</v>
      </c>
    </row>
    <row r="235" spans="1:8">
      <c r="A235" t="s">
        <v>667</v>
      </c>
      <c r="B235">
        <v>234</v>
      </c>
      <c r="C235" t="s">
        <v>236</v>
      </c>
      <c r="E235" t="str">
        <f>_xlfn.XLOOKUP(C235, idつけ作業用!E$2:E$177, idつけ作業用!H$2:H$177, "")</f>
        <v>東宮浜字要害３２番地</v>
      </c>
      <c r="F235" t="s">
        <v>677</v>
      </c>
      <c r="G235" t="s">
        <v>901</v>
      </c>
      <c r="H235" t="s">
        <v>677</v>
      </c>
    </row>
    <row r="236" spans="1:8">
      <c r="A236" t="s">
        <v>667</v>
      </c>
      <c r="B236">
        <v>235</v>
      </c>
      <c r="C236" t="s">
        <v>237</v>
      </c>
      <c r="E236" t="str">
        <f>_xlfn.XLOOKUP(C236, idつけ作業用!E$2:E$177, idつけ作業用!H$2:H$177, "")</f>
        <v>塩釜市大日向町１－３４</v>
      </c>
      <c r="F236" t="s">
        <v>671</v>
      </c>
      <c r="G236" t="s">
        <v>902</v>
      </c>
      <c r="H236" t="s">
        <v>671</v>
      </c>
    </row>
    <row r="237" spans="1:8">
      <c r="A237" t="s">
        <v>667</v>
      </c>
      <c r="B237">
        <v>236</v>
      </c>
      <c r="C237" t="s">
        <v>238</v>
      </c>
      <c r="E237" t="str">
        <f>_xlfn.XLOOKUP(C237, idつけ作業用!E$2:E$177, idつけ作業用!H$2:H$177, "")</f>
        <v>吉田浜字浜屋敷５６番地の２</v>
      </c>
      <c r="F237" t="s">
        <v>674</v>
      </c>
      <c r="G237" t="s">
        <v>903</v>
      </c>
      <c r="H237" t="s">
        <v>674</v>
      </c>
    </row>
    <row r="238" spans="1:8">
      <c r="A238" t="s">
        <v>667</v>
      </c>
      <c r="B238">
        <v>237</v>
      </c>
      <c r="C238" t="s">
        <v>239</v>
      </c>
      <c r="E238" t="str">
        <f>_xlfn.XLOOKUP(C238, idつけ作業用!E$2:E$177, idつけ作業用!H$2:H$177, "")</f>
        <v>仙台市宮城野区福室三丁目２８－３８高砂ミューハイツ４０２号</v>
      </c>
      <c r="F238" t="s">
        <v>669</v>
      </c>
      <c r="G238" t="s">
        <v>669</v>
      </c>
      <c r="H238" t="s">
        <v>669</v>
      </c>
    </row>
    <row r="239" spans="1:8">
      <c r="A239" t="s">
        <v>667</v>
      </c>
      <c r="B239">
        <v>238</v>
      </c>
      <c r="C239" t="s">
        <v>240</v>
      </c>
      <c r="E239" t="str">
        <f>_xlfn.XLOOKUP(C239, idつけ作業用!E$2:E$177, idつけ作業用!H$2:H$177, "")</f>
        <v>七ヶ浜町吉田浜字野山５番地の９野外活動センター応急仮設住宅</v>
      </c>
      <c r="F239" t="s">
        <v>671</v>
      </c>
      <c r="G239" t="s">
        <v>904</v>
      </c>
      <c r="H239" t="s">
        <v>671</v>
      </c>
    </row>
    <row r="240" spans="1:8">
      <c r="A240" t="s">
        <v>667</v>
      </c>
      <c r="B240">
        <v>239</v>
      </c>
      <c r="C240" t="s">
        <v>241</v>
      </c>
      <c r="E240" t="str">
        <f>_xlfn.XLOOKUP(C240, idつけ作業用!E$2:E$177, idつけ作業用!H$2:H$177, "")</f>
        <v>東宮浜字鶴ヶ湊２７番地の２</v>
      </c>
      <c r="F240" t="s">
        <v>676</v>
      </c>
      <c r="G240" t="s">
        <v>905</v>
      </c>
      <c r="H240" t="s">
        <v>676</v>
      </c>
    </row>
    <row r="241" spans="1:8">
      <c r="A241" t="s">
        <v>667</v>
      </c>
      <c r="B241">
        <v>240</v>
      </c>
      <c r="C241" t="s">
        <v>242</v>
      </c>
      <c r="E241" t="str">
        <f>_xlfn.XLOOKUP(C241, idつけ作業用!E$2:E$177, idつけ作業用!H$2:H$177, "")</f>
        <v>松ヶ浜字浜屋敷４０</v>
      </c>
      <c r="F241" t="s">
        <v>670</v>
      </c>
      <c r="G241" t="s">
        <v>906</v>
      </c>
      <c r="H241" t="s">
        <v>670</v>
      </c>
    </row>
    <row r="242" spans="1:8">
      <c r="A242" t="s">
        <v>663</v>
      </c>
      <c r="B242">
        <v>241</v>
      </c>
      <c r="C242" t="s">
        <v>630</v>
      </c>
      <c r="F242" t="s">
        <v>678</v>
      </c>
      <c r="G242" t="s">
        <v>661</v>
      </c>
      <c r="H242" t="s">
        <v>907</v>
      </c>
    </row>
    <row r="243" spans="1:8">
      <c r="A243" t="s">
        <v>663</v>
      </c>
      <c r="B243">
        <v>242</v>
      </c>
      <c r="C243" t="s">
        <v>631</v>
      </c>
      <c r="F243" t="s">
        <v>672</v>
      </c>
      <c r="G243" t="s">
        <v>908</v>
      </c>
      <c r="H243" t="s">
        <v>909</v>
      </c>
    </row>
    <row r="244" spans="1:8">
      <c r="A244" t="s">
        <v>663</v>
      </c>
      <c r="B244">
        <v>243</v>
      </c>
      <c r="C244" t="s">
        <v>632</v>
      </c>
      <c r="F244" t="s">
        <v>679</v>
      </c>
      <c r="G244" t="s">
        <v>910</v>
      </c>
      <c r="H244" t="s">
        <v>911</v>
      </c>
    </row>
    <row r="245" spans="1:8">
      <c r="A245" t="s">
        <v>663</v>
      </c>
      <c r="B245">
        <v>244</v>
      </c>
      <c r="C245" t="s">
        <v>633</v>
      </c>
      <c r="F245" t="s">
        <v>679</v>
      </c>
      <c r="G245" t="s">
        <v>912</v>
      </c>
      <c r="H245" t="s">
        <v>913</v>
      </c>
    </row>
    <row r="246" spans="1:8">
      <c r="A246" t="s">
        <v>663</v>
      </c>
      <c r="B246">
        <v>245</v>
      </c>
      <c r="C246" t="s">
        <v>634</v>
      </c>
      <c r="F246" t="s">
        <v>675</v>
      </c>
      <c r="G246" t="s">
        <v>669</v>
      </c>
      <c r="H246" t="s">
        <v>669</v>
      </c>
    </row>
    <row r="247" spans="1:8">
      <c r="A247" t="s">
        <v>663</v>
      </c>
      <c r="B247">
        <v>246</v>
      </c>
      <c r="C247" t="s">
        <v>635</v>
      </c>
      <c r="F247" t="s">
        <v>670</v>
      </c>
      <c r="G247" t="s">
        <v>914</v>
      </c>
      <c r="H247" t="s">
        <v>670</v>
      </c>
    </row>
    <row r="248" spans="1:8">
      <c r="A248" t="s">
        <v>663</v>
      </c>
      <c r="B248">
        <v>247</v>
      </c>
      <c r="C248" t="s">
        <v>636</v>
      </c>
      <c r="F248" t="s">
        <v>671</v>
      </c>
      <c r="G248" t="s">
        <v>669</v>
      </c>
      <c r="H248" t="s">
        <v>669</v>
      </c>
    </row>
    <row r="249" spans="1:8">
      <c r="A249" t="s">
        <v>663</v>
      </c>
      <c r="B249">
        <v>248</v>
      </c>
      <c r="C249" t="s">
        <v>637</v>
      </c>
      <c r="F249" t="s">
        <v>673</v>
      </c>
      <c r="G249" t="s">
        <v>669</v>
      </c>
      <c r="H249" t="s">
        <v>669</v>
      </c>
    </row>
    <row r="250" spans="1:8">
      <c r="A250" t="s">
        <v>663</v>
      </c>
      <c r="B250">
        <v>289</v>
      </c>
      <c r="C250" t="s">
        <v>638</v>
      </c>
      <c r="F250" t="s">
        <v>676</v>
      </c>
      <c r="G250" t="s">
        <v>669</v>
      </c>
      <c r="H250" t="s">
        <v>669</v>
      </c>
    </row>
    <row r="251" spans="1:8">
      <c r="A251" t="s">
        <v>663</v>
      </c>
      <c r="B251">
        <v>249</v>
      </c>
      <c r="C251" t="s">
        <v>639</v>
      </c>
      <c r="F251" t="s">
        <v>671</v>
      </c>
      <c r="G251" t="s">
        <v>669</v>
      </c>
      <c r="H251" t="s">
        <v>669</v>
      </c>
    </row>
    <row r="252" spans="1:8">
      <c r="A252" t="s">
        <v>663</v>
      </c>
      <c r="B252">
        <v>290</v>
      </c>
      <c r="C252" t="s">
        <v>640</v>
      </c>
      <c r="F252" t="s">
        <v>670</v>
      </c>
      <c r="G252" t="s">
        <v>669</v>
      </c>
      <c r="H252" t="s">
        <v>669</v>
      </c>
    </row>
    <row r="253" spans="1:8">
      <c r="A253" t="s">
        <v>663</v>
      </c>
      <c r="B253">
        <v>250</v>
      </c>
      <c r="C253" t="s">
        <v>641</v>
      </c>
      <c r="F253" t="s">
        <v>671</v>
      </c>
      <c r="G253" t="s">
        <v>682</v>
      </c>
      <c r="H253" t="s">
        <v>671</v>
      </c>
    </row>
    <row r="254" spans="1:8">
      <c r="A254" t="s">
        <v>663</v>
      </c>
      <c r="B254">
        <v>251</v>
      </c>
      <c r="C254" t="s">
        <v>642</v>
      </c>
      <c r="F254" t="s">
        <v>671</v>
      </c>
      <c r="G254" t="s">
        <v>783</v>
      </c>
      <c r="H254" t="s">
        <v>671</v>
      </c>
    </row>
    <row r="255" spans="1:8">
      <c r="A255" t="s">
        <v>663</v>
      </c>
      <c r="B255">
        <v>252</v>
      </c>
      <c r="C255" t="s">
        <v>643</v>
      </c>
      <c r="F255" t="s">
        <v>671</v>
      </c>
      <c r="G255" t="s">
        <v>669</v>
      </c>
      <c r="H255" t="s">
        <v>669</v>
      </c>
    </row>
    <row r="256" spans="1:8">
      <c r="A256" t="s">
        <v>663</v>
      </c>
      <c r="B256">
        <v>253</v>
      </c>
      <c r="C256" t="s">
        <v>644</v>
      </c>
      <c r="F256" t="s">
        <v>673</v>
      </c>
      <c r="G256" t="s">
        <v>669</v>
      </c>
      <c r="H256" t="s">
        <v>669</v>
      </c>
    </row>
    <row r="257" spans="1:8">
      <c r="A257" t="s">
        <v>663</v>
      </c>
      <c r="B257">
        <v>254</v>
      </c>
      <c r="C257" t="s">
        <v>645</v>
      </c>
      <c r="F257" t="s">
        <v>675</v>
      </c>
      <c r="G257" t="s">
        <v>669</v>
      </c>
      <c r="H257" t="s">
        <v>669</v>
      </c>
    </row>
    <row r="258" spans="1:8">
      <c r="A258" t="s">
        <v>663</v>
      </c>
      <c r="B258">
        <v>255</v>
      </c>
      <c r="C258" t="s">
        <v>646</v>
      </c>
      <c r="F258" t="s">
        <v>678</v>
      </c>
      <c r="G258" t="s">
        <v>915</v>
      </c>
      <c r="H258" t="s">
        <v>916</v>
      </c>
    </row>
    <row r="259" spans="1:8">
      <c r="A259" t="s">
        <v>663</v>
      </c>
      <c r="B259">
        <v>256</v>
      </c>
      <c r="C259" t="s">
        <v>647</v>
      </c>
      <c r="F259" t="s">
        <v>679</v>
      </c>
      <c r="G259" t="s">
        <v>917</v>
      </c>
      <c r="H259" t="s">
        <v>918</v>
      </c>
    </row>
    <row r="260" spans="1:8">
      <c r="A260" t="s">
        <v>663</v>
      </c>
      <c r="B260">
        <v>257</v>
      </c>
      <c r="C260" t="s">
        <v>648</v>
      </c>
      <c r="F260" t="s">
        <v>673</v>
      </c>
      <c r="G260" t="s">
        <v>919</v>
      </c>
      <c r="H260" t="s">
        <v>673</v>
      </c>
    </row>
    <row r="261" spans="1:8">
      <c r="A261" t="s">
        <v>663</v>
      </c>
      <c r="B261">
        <v>258</v>
      </c>
      <c r="C261" t="s">
        <v>649</v>
      </c>
      <c r="F261" t="s">
        <v>679</v>
      </c>
      <c r="G261" t="s">
        <v>920</v>
      </c>
      <c r="H261" t="s">
        <v>921</v>
      </c>
    </row>
    <row r="262" spans="1:8">
      <c r="A262" t="s">
        <v>663</v>
      </c>
      <c r="B262">
        <v>259</v>
      </c>
      <c r="C262" t="s">
        <v>650</v>
      </c>
      <c r="F262" t="s">
        <v>679</v>
      </c>
      <c r="G262" t="s">
        <v>922</v>
      </c>
      <c r="H262" t="s">
        <v>923</v>
      </c>
    </row>
    <row r="263" spans="1:8">
      <c r="A263" t="s">
        <v>663</v>
      </c>
      <c r="B263">
        <v>260</v>
      </c>
      <c r="C263" t="s">
        <v>651</v>
      </c>
      <c r="F263" t="s">
        <v>679</v>
      </c>
      <c r="G263" t="s">
        <v>924</v>
      </c>
      <c r="H263" t="s">
        <v>913</v>
      </c>
    </row>
    <row r="264" spans="1:8">
      <c r="A264" t="s">
        <v>663</v>
      </c>
      <c r="B264">
        <v>261</v>
      </c>
      <c r="C264" t="s">
        <v>652</v>
      </c>
      <c r="F264" t="s">
        <v>675</v>
      </c>
      <c r="G264" t="s">
        <v>925</v>
      </c>
      <c r="H264" t="s">
        <v>675</v>
      </c>
    </row>
    <row r="265" spans="1:8">
      <c r="A265" t="s">
        <v>663</v>
      </c>
      <c r="B265">
        <v>262</v>
      </c>
      <c r="C265" t="s">
        <v>653</v>
      </c>
      <c r="F265" t="s">
        <v>671</v>
      </c>
      <c r="G265" t="s">
        <v>669</v>
      </c>
      <c r="H265" t="s">
        <v>669</v>
      </c>
    </row>
    <row r="266" spans="1:8">
      <c r="A266" t="s">
        <v>663</v>
      </c>
      <c r="B266">
        <v>263</v>
      </c>
      <c r="C266" t="s">
        <v>654</v>
      </c>
      <c r="F266" t="s">
        <v>678</v>
      </c>
      <c r="G266" t="s">
        <v>926</v>
      </c>
      <c r="H266" t="s">
        <v>927</v>
      </c>
    </row>
    <row r="267" spans="1:8">
      <c r="A267" t="s">
        <v>663</v>
      </c>
      <c r="B267">
        <v>264</v>
      </c>
      <c r="C267" t="s">
        <v>655</v>
      </c>
      <c r="F267" t="s">
        <v>670</v>
      </c>
      <c r="G267" t="s">
        <v>669</v>
      </c>
      <c r="H267" t="s">
        <v>669</v>
      </c>
    </row>
    <row r="268" spans="1:8">
      <c r="A268" t="s">
        <v>663</v>
      </c>
      <c r="B268">
        <v>265</v>
      </c>
      <c r="C268" t="s">
        <v>656</v>
      </c>
      <c r="F268" t="s">
        <v>679</v>
      </c>
      <c r="G268" t="s">
        <v>928</v>
      </c>
      <c r="H268" t="s">
        <v>918</v>
      </c>
    </row>
    <row r="269" spans="1:8">
      <c r="A269" t="s">
        <v>663</v>
      </c>
      <c r="B269">
        <v>266</v>
      </c>
      <c r="C269" t="s">
        <v>660</v>
      </c>
      <c r="F269" t="s">
        <v>676</v>
      </c>
      <c r="G269" t="s">
        <v>669</v>
      </c>
      <c r="H269" t="s">
        <v>669</v>
      </c>
    </row>
    <row r="270" spans="1:8">
      <c r="A270" t="s">
        <v>663</v>
      </c>
      <c r="B270">
        <v>267</v>
      </c>
      <c r="C270" t="s">
        <v>657</v>
      </c>
      <c r="F270" t="s">
        <v>671</v>
      </c>
      <c r="G270" t="s">
        <v>669</v>
      </c>
      <c r="H270" t="s">
        <v>669</v>
      </c>
    </row>
    <row r="271" spans="1:8">
      <c r="A271" t="s">
        <v>663</v>
      </c>
      <c r="B271">
        <v>268</v>
      </c>
      <c r="C271" t="s">
        <v>658</v>
      </c>
      <c r="F271" t="s">
        <v>678</v>
      </c>
      <c r="G271" t="s">
        <v>929</v>
      </c>
      <c r="H271" t="s">
        <v>930</v>
      </c>
    </row>
    <row r="272" spans="1:8">
      <c r="A272" t="s">
        <v>663</v>
      </c>
      <c r="B272">
        <v>269</v>
      </c>
      <c r="C272" t="s">
        <v>659</v>
      </c>
      <c r="F272" t="s">
        <v>671</v>
      </c>
      <c r="G272" t="s">
        <v>669</v>
      </c>
      <c r="H272" t="s">
        <v>669</v>
      </c>
    </row>
    <row r="273" spans="1:8">
      <c r="A273" t="s">
        <v>664</v>
      </c>
      <c r="B273">
        <v>270</v>
      </c>
      <c r="C273" t="s">
        <v>693</v>
      </c>
      <c r="G273" t="s">
        <v>931</v>
      </c>
      <c r="H273" t="s">
        <v>671</v>
      </c>
    </row>
    <row r="274" spans="1:8">
      <c r="A274" t="s">
        <v>664</v>
      </c>
      <c r="B274">
        <v>271</v>
      </c>
      <c r="C274" t="s">
        <v>696</v>
      </c>
      <c r="G274" t="s">
        <v>932</v>
      </c>
      <c r="H274" t="s">
        <v>673</v>
      </c>
    </row>
    <row r="275" spans="1:8">
      <c r="A275" t="s">
        <v>664</v>
      </c>
      <c r="B275">
        <v>272</v>
      </c>
      <c r="C275" t="s">
        <v>698</v>
      </c>
      <c r="G275" t="s">
        <v>933</v>
      </c>
      <c r="H275" t="s">
        <v>675</v>
      </c>
    </row>
    <row r="276" spans="1:8">
      <c r="A276" t="s">
        <v>664</v>
      </c>
      <c r="B276">
        <v>273</v>
      </c>
      <c r="C276" t="s">
        <v>700</v>
      </c>
      <c r="G276" t="s">
        <v>934</v>
      </c>
      <c r="H276" t="s">
        <v>670</v>
      </c>
    </row>
    <row r="277" spans="1:8">
      <c r="A277" t="s">
        <v>664</v>
      </c>
      <c r="B277">
        <v>274</v>
      </c>
      <c r="C277" t="s">
        <v>701</v>
      </c>
      <c r="G277" t="s">
        <v>935</v>
      </c>
      <c r="H277" t="s">
        <v>673</v>
      </c>
    </row>
    <row r="278" spans="1:8">
      <c r="A278" t="s">
        <v>664</v>
      </c>
      <c r="B278">
        <v>275</v>
      </c>
      <c r="C278" t="s">
        <v>684</v>
      </c>
      <c r="G278" t="s">
        <v>936</v>
      </c>
      <c r="H278" t="s">
        <v>670</v>
      </c>
    </row>
    <row r="279" spans="1:8">
      <c r="A279" t="s">
        <v>664</v>
      </c>
      <c r="B279">
        <v>276</v>
      </c>
      <c r="C279" t="s">
        <v>702</v>
      </c>
      <c r="G279" t="s">
        <v>825</v>
      </c>
      <c r="H279" t="s">
        <v>674</v>
      </c>
    </row>
    <row r="280" spans="1:8">
      <c r="A280" t="s">
        <v>664</v>
      </c>
      <c r="B280">
        <v>277</v>
      </c>
      <c r="C280" t="s">
        <v>703</v>
      </c>
      <c r="G280" t="s">
        <v>937</v>
      </c>
      <c r="H280" t="s">
        <v>674</v>
      </c>
    </row>
    <row r="281" spans="1:8">
      <c r="A281" t="s">
        <v>664</v>
      </c>
      <c r="B281">
        <v>278</v>
      </c>
      <c r="C281" t="s">
        <v>705</v>
      </c>
      <c r="G281" t="s">
        <v>938</v>
      </c>
      <c r="H281" t="s">
        <v>673</v>
      </c>
    </row>
    <row r="282" spans="1:8">
      <c r="A282" t="s">
        <v>664</v>
      </c>
      <c r="B282">
        <v>279</v>
      </c>
      <c r="C282" t="s">
        <v>706</v>
      </c>
      <c r="G282" t="s">
        <v>881</v>
      </c>
      <c r="H282" t="s">
        <v>676</v>
      </c>
    </row>
    <row r="283" spans="1:8">
      <c r="A283" t="s">
        <v>664</v>
      </c>
      <c r="B283">
        <v>280</v>
      </c>
      <c r="C283" t="s">
        <v>707</v>
      </c>
      <c r="G283" t="s">
        <v>939</v>
      </c>
      <c r="H283" t="s">
        <v>685</v>
      </c>
    </row>
    <row r="284" spans="1:8">
      <c r="A284" t="s">
        <v>664</v>
      </c>
      <c r="B284">
        <v>281</v>
      </c>
      <c r="C284" t="s">
        <v>708</v>
      </c>
      <c r="G284" t="s">
        <v>755</v>
      </c>
      <c r="H284" t="s">
        <v>670</v>
      </c>
    </row>
    <row r="285" spans="1:8">
      <c r="A285" t="s">
        <v>664</v>
      </c>
      <c r="B285">
        <v>282</v>
      </c>
      <c r="C285" t="s">
        <v>709</v>
      </c>
      <c r="G285" t="s">
        <v>878</v>
      </c>
      <c r="H285" t="s">
        <v>676</v>
      </c>
    </row>
    <row r="286" spans="1:8">
      <c r="A286" t="s">
        <v>664</v>
      </c>
      <c r="B286">
        <v>283</v>
      </c>
      <c r="C286" t="s">
        <v>710</v>
      </c>
      <c r="G286" t="s">
        <v>756</v>
      </c>
      <c r="H286" t="s">
        <v>670</v>
      </c>
    </row>
    <row r="287" spans="1:8">
      <c r="A287" t="s">
        <v>664</v>
      </c>
      <c r="B287">
        <v>284</v>
      </c>
      <c r="C287" t="s">
        <v>711</v>
      </c>
      <c r="G287" t="s">
        <v>940</v>
      </c>
      <c r="H287" t="s">
        <v>941</v>
      </c>
    </row>
    <row r="288" spans="1:8">
      <c r="A288" t="s">
        <v>664</v>
      </c>
      <c r="B288">
        <v>285</v>
      </c>
      <c r="C288" t="s">
        <v>712</v>
      </c>
      <c r="G288" t="s">
        <v>942</v>
      </c>
      <c r="H288" t="s">
        <v>943</v>
      </c>
    </row>
    <row r="289" spans="1:8">
      <c r="A289" t="s">
        <v>664</v>
      </c>
      <c r="B289">
        <v>286</v>
      </c>
      <c r="C289" t="s">
        <v>713</v>
      </c>
      <c r="G289" t="s">
        <v>944</v>
      </c>
      <c r="H289" t="s">
        <v>918</v>
      </c>
    </row>
    <row r="290" spans="1:8">
      <c r="A290" t="s">
        <v>664</v>
      </c>
      <c r="B290">
        <v>287</v>
      </c>
      <c r="C290" t="s">
        <v>714</v>
      </c>
      <c r="G290" t="s">
        <v>945</v>
      </c>
      <c r="H290" t="s">
        <v>923</v>
      </c>
    </row>
    <row r="291" spans="1:8">
      <c r="A291" t="s">
        <v>664</v>
      </c>
      <c r="B291">
        <v>288</v>
      </c>
      <c r="C291" t="s">
        <v>715</v>
      </c>
      <c r="G291" t="s">
        <v>946</v>
      </c>
      <c r="H291" t="s">
        <v>911</v>
      </c>
    </row>
  </sheetData>
  <phoneticPr fontId="5"/>
  <conditionalFormatting sqref="C236">
    <cfRule type="containsText" dxfId="1" priority="1" operator="containsText" text="渡辺">
      <formula>NOT(ISERROR(SEARCH("渡辺",C236)))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"/>
  <sheetViews>
    <sheetView workbookViewId="0">
      <pane xSplit="1" ySplit="1" topLeftCell="B134" activePane="bottomRight" state="frozen"/>
      <selection pane="topRight" activeCell="B1" sqref="B1"/>
      <selection pane="bottomLeft" activeCell="A2" sqref="A2"/>
      <selection pane="bottomRight" activeCell="H29" sqref="H29"/>
    </sheetView>
  </sheetViews>
  <sheetFormatPr defaultRowHeight="18"/>
  <cols>
    <col min="1" max="1" width="8.1640625" bestFit="1" customWidth="1"/>
    <col min="2" max="2" width="14.33203125" bestFit="1" customWidth="1"/>
    <col min="3" max="3" width="30.4140625" bestFit="1" customWidth="1"/>
    <col min="4" max="4" width="30.4140625" customWidth="1"/>
    <col min="5" max="5" width="14.33203125" bestFit="1" customWidth="1"/>
    <col min="6" max="6" width="20.9140625" customWidth="1"/>
    <col min="8" max="8" width="69.33203125" bestFit="1" customWidth="1"/>
  </cols>
  <sheetData>
    <row r="1" spans="1:8">
      <c r="A1" t="s">
        <v>247</v>
      </c>
      <c r="B1" t="s">
        <v>0</v>
      </c>
      <c r="C1" t="s">
        <v>401</v>
      </c>
      <c r="E1" t="s">
        <v>243</v>
      </c>
      <c r="F1" t="s">
        <v>245</v>
      </c>
      <c r="G1" t="s">
        <v>246</v>
      </c>
      <c r="H1" t="s">
        <v>248</v>
      </c>
    </row>
    <row r="2" spans="1:8">
      <c r="A2">
        <v>1</v>
      </c>
      <c r="B2" t="s">
        <v>1</v>
      </c>
      <c r="C2" t="s">
        <v>402</v>
      </c>
      <c r="E2" s="1" t="s">
        <v>1</v>
      </c>
      <c r="F2">
        <f t="shared" ref="F2:F33" si="0">_xlfn.XLOOKUP(E2, B$2:B$231, A$2:A$231, 0)</f>
        <v>1</v>
      </c>
      <c r="G2">
        <v>26</v>
      </c>
      <c r="H2" t="s">
        <v>271</v>
      </c>
    </row>
    <row r="3" spans="1:8">
      <c r="A3">
        <v>2</v>
      </c>
      <c r="B3" t="s">
        <v>2</v>
      </c>
      <c r="C3" t="s">
        <v>403</v>
      </c>
      <c r="E3" s="1" t="s">
        <v>2</v>
      </c>
      <c r="F3">
        <f t="shared" si="0"/>
        <v>2</v>
      </c>
      <c r="G3">
        <v>75</v>
      </c>
      <c r="H3" t="s">
        <v>312</v>
      </c>
    </row>
    <row r="4" spans="1:8">
      <c r="A4">
        <v>3</v>
      </c>
      <c r="B4" t="s">
        <v>3</v>
      </c>
      <c r="C4" t="s">
        <v>404</v>
      </c>
      <c r="E4" s="1" t="s">
        <v>3</v>
      </c>
      <c r="F4">
        <f t="shared" si="0"/>
        <v>3</v>
      </c>
      <c r="G4">
        <v>100</v>
      </c>
      <c r="H4" t="s">
        <v>332</v>
      </c>
    </row>
    <row r="5" spans="1:8">
      <c r="A5">
        <v>4</v>
      </c>
      <c r="B5" t="s">
        <v>4</v>
      </c>
      <c r="C5" t="s">
        <v>405</v>
      </c>
      <c r="E5" s="1" t="s">
        <v>4</v>
      </c>
      <c r="F5">
        <f t="shared" si="0"/>
        <v>4</v>
      </c>
      <c r="G5">
        <v>118</v>
      </c>
      <c r="H5" t="s">
        <v>348</v>
      </c>
    </row>
    <row r="6" spans="1:8">
      <c r="A6">
        <v>5</v>
      </c>
      <c r="B6" t="s">
        <v>5</v>
      </c>
      <c r="C6" t="s">
        <v>406</v>
      </c>
      <c r="E6" s="1" t="s">
        <v>5</v>
      </c>
      <c r="F6">
        <f t="shared" si="0"/>
        <v>5</v>
      </c>
      <c r="G6">
        <v>114</v>
      </c>
      <c r="H6" t="s">
        <v>344</v>
      </c>
    </row>
    <row r="7" spans="1:8">
      <c r="A7">
        <v>6</v>
      </c>
      <c r="B7" t="s">
        <v>6</v>
      </c>
      <c r="C7" t="s">
        <v>407</v>
      </c>
      <c r="E7" s="1" t="s">
        <v>6</v>
      </c>
      <c r="F7">
        <f t="shared" si="0"/>
        <v>6</v>
      </c>
      <c r="G7">
        <v>158</v>
      </c>
      <c r="H7" t="s">
        <v>382</v>
      </c>
    </row>
    <row r="8" spans="1:8">
      <c r="A8">
        <v>7</v>
      </c>
      <c r="B8" t="s">
        <v>7</v>
      </c>
      <c r="C8" t="s">
        <v>408</v>
      </c>
      <c r="E8" s="1" t="s">
        <v>7</v>
      </c>
      <c r="F8">
        <f t="shared" si="0"/>
        <v>7</v>
      </c>
      <c r="G8">
        <v>19</v>
      </c>
      <c r="H8" t="s">
        <v>265</v>
      </c>
    </row>
    <row r="9" spans="1:8">
      <c r="A9">
        <v>8</v>
      </c>
      <c r="B9" t="s">
        <v>8</v>
      </c>
      <c r="C9" t="s">
        <v>409</v>
      </c>
      <c r="E9" s="1" t="s">
        <v>8</v>
      </c>
      <c r="F9">
        <f t="shared" si="0"/>
        <v>8</v>
      </c>
      <c r="G9">
        <v>28</v>
      </c>
      <c r="H9" t="s">
        <v>273</v>
      </c>
    </row>
    <row r="10" spans="1:8">
      <c r="A10">
        <v>9</v>
      </c>
      <c r="B10" t="s">
        <v>9</v>
      </c>
      <c r="C10" t="s">
        <v>410</v>
      </c>
      <c r="E10" s="1" t="s">
        <v>9</v>
      </c>
      <c r="F10">
        <f t="shared" si="0"/>
        <v>9</v>
      </c>
      <c r="G10">
        <v>35</v>
      </c>
      <c r="H10" t="s">
        <v>278</v>
      </c>
    </row>
    <row r="11" spans="1:8">
      <c r="A11">
        <v>10</v>
      </c>
      <c r="B11" t="s">
        <v>10</v>
      </c>
      <c r="C11" t="s">
        <v>411</v>
      </c>
      <c r="E11" s="1" t="s">
        <v>10</v>
      </c>
      <c r="F11">
        <f t="shared" si="0"/>
        <v>10</v>
      </c>
      <c r="G11">
        <v>36</v>
      </c>
      <c r="H11" t="s">
        <v>249</v>
      </c>
    </row>
    <row r="12" spans="1:8">
      <c r="A12">
        <v>11</v>
      </c>
      <c r="B12" t="s">
        <v>11</v>
      </c>
      <c r="C12" t="s">
        <v>412</v>
      </c>
      <c r="E12" s="1" t="s">
        <v>11</v>
      </c>
      <c r="F12">
        <f t="shared" si="0"/>
        <v>11</v>
      </c>
      <c r="G12">
        <v>176</v>
      </c>
      <c r="H12" t="s">
        <v>400</v>
      </c>
    </row>
    <row r="13" spans="1:8">
      <c r="A13">
        <v>12</v>
      </c>
      <c r="B13" t="s">
        <v>12</v>
      </c>
      <c r="C13" t="s">
        <v>413</v>
      </c>
      <c r="E13" s="1" t="s">
        <v>12</v>
      </c>
      <c r="F13">
        <f t="shared" si="0"/>
        <v>12</v>
      </c>
      <c r="G13">
        <v>37</v>
      </c>
      <c r="H13" t="s">
        <v>279</v>
      </c>
    </row>
    <row r="14" spans="1:8">
      <c r="A14">
        <v>13</v>
      </c>
      <c r="B14" t="s">
        <v>13</v>
      </c>
      <c r="C14" t="s">
        <v>414</v>
      </c>
      <c r="E14" s="1" t="s">
        <v>13</v>
      </c>
      <c r="F14">
        <f t="shared" si="0"/>
        <v>13</v>
      </c>
      <c r="G14">
        <v>39</v>
      </c>
      <c r="H14" t="s">
        <v>280</v>
      </c>
    </row>
    <row r="15" spans="1:8">
      <c r="A15">
        <v>14</v>
      </c>
      <c r="B15" t="s">
        <v>14</v>
      </c>
      <c r="C15" t="s">
        <v>415</v>
      </c>
      <c r="E15" s="1" t="s">
        <v>14</v>
      </c>
      <c r="F15">
        <f t="shared" si="0"/>
        <v>14</v>
      </c>
      <c r="G15">
        <v>42</v>
      </c>
      <c r="H15" t="s">
        <v>283</v>
      </c>
    </row>
    <row r="16" spans="1:8">
      <c r="A16">
        <v>15</v>
      </c>
      <c r="B16" t="s">
        <v>15</v>
      </c>
      <c r="C16" t="s">
        <v>416</v>
      </c>
      <c r="E16" s="1" t="s">
        <v>15</v>
      </c>
      <c r="F16">
        <f t="shared" si="0"/>
        <v>15</v>
      </c>
      <c r="G16">
        <v>47</v>
      </c>
      <c r="H16" t="s">
        <v>288</v>
      </c>
    </row>
    <row r="17" spans="1:8">
      <c r="A17">
        <v>16</v>
      </c>
      <c r="B17" t="s">
        <v>16</v>
      </c>
      <c r="C17" t="s">
        <v>417</v>
      </c>
      <c r="E17" s="1" t="s">
        <v>17</v>
      </c>
      <c r="F17">
        <f t="shared" si="0"/>
        <v>17</v>
      </c>
      <c r="G17">
        <v>103</v>
      </c>
      <c r="H17" t="s">
        <v>334</v>
      </c>
    </row>
    <row r="18" spans="1:8">
      <c r="A18">
        <v>17</v>
      </c>
      <c r="B18" t="s">
        <v>17</v>
      </c>
      <c r="C18" t="s">
        <v>418</v>
      </c>
      <c r="E18" s="1" t="s">
        <v>18</v>
      </c>
      <c r="F18">
        <f t="shared" si="0"/>
        <v>18</v>
      </c>
      <c r="G18">
        <v>79</v>
      </c>
      <c r="H18" t="s">
        <v>315</v>
      </c>
    </row>
    <row r="19" spans="1:8">
      <c r="A19">
        <v>18</v>
      </c>
      <c r="B19" t="s">
        <v>18</v>
      </c>
      <c r="C19" t="s">
        <v>419</v>
      </c>
      <c r="E19" s="1" t="s">
        <v>19</v>
      </c>
      <c r="F19">
        <f t="shared" si="0"/>
        <v>19</v>
      </c>
      <c r="G19">
        <v>82</v>
      </c>
      <c r="H19" t="s">
        <v>317</v>
      </c>
    </row>
    <row r="20" spans="1:8">
      <c r="A20">
        <v>19</v>
      </c>
      <c r="B20" t="s">
        <v>19</v>
      </c>
      <c r="C20" t="s">
        <v>420</v>
      </c>
      <c r="E20" s="1" t="s">
        <v>20</v>
      </c>
      <c r="F20">
        <f t="shared" si="0"/>
        <v>20</v>
      </c>
      <c r="G20">
        <v>83</v>
      </c>
      <c r="H20" t="s">
        <v>318</v>
      </c>
    </row>
    <row r="21" spans="1:8">
      <c r="A21">
        <v>20</v>
      </c>
      <c r="B21" t="s">
        <v>20</v>
      </c>
      <c r="C21" t="s">
        <v>421</v>
      </c>
      <c r="E21" s="1" t="s">
        <v>21</v>
      </c>
      <c r="F21">
        <f t="shared" si="0"/>
        <v>21</v>
      </c>
      <c r="G21">
        <v>85</v>
      </c>
      <c r="H21" t="s">
        <v>319</v>
      </c>
    </row>
    <row r="22" spans="1:8">
      <c r="A22">
        <v>21</v>
      </c>
      <c r="B22" t="s">
        <v>21</v>
      </c>
      <c r="C22" t="s">
        <v>422</v>
      </c>
      <c r="E22" s="1" t="s">
        <v>22</v>
      </c>
      <c r="F22">
        <f t="shared" si="0"/>
        <v>22</v>
      </c>
      <c r="G22">
        <v>86</v>
      </c>
      <c r="H22" t="s">
        <v>320</v>
      </c>
    </row>
    <row r="23" spans="1:8">
      <c r="A23">
        <v>22</v>
      </c>
      <c r="B23" t="s">
        <v>22</v>
      </c>
      <c r="C23" t="s">
        <v>423</v>
      </c>
      <c r="E23" s="1" t="s">
        <v>23</v>
      </c>
      <c r="F23">
        <f t="shared" si="0"/>
        <v>23</v>
      </c>
      <c r="G23">
        <v>89</v>
      </c>
      <c r="H23" t="s">
        <v>323</v>
      </c>
    </row>
    <row r="24" spans="1:8">
      <c r="A24">
        <v>23</v>
      </c>
      <c r="B24" t="s">
        <v>23</v>
      </c>
      <c r="C24" t="s">
        <v>424</v>
      </c>
      <c r="E24" s="1" t="s">
        <v>25</v>
      </c>
      <c r="F24">
        <f t="shared" si="0"/>
        <v>25</v>
      </c>
      <c r="G24">
        <v>93</v>
      </c>
      <c r="H24" t="s">
        <v>326</v>
      </c>
    </row>
    <row r="25" spans="1:8">
      <c r="A25">
        <v>24</v>
      </c>
      <c r="B25" t="s">
        <v>24</v>
      </c>
      <c r="C25" t="s">
        <v>425</v>
      </c>
      <c r="E25" s="1" t="s">
        <v>26</v>
      </c>
      <c r="F25">
        <f t="shared" si="0"/>
        <v>26</v>
      </c>
      <c r="G25">
        <v>98</v>
      </c>
      <c r="H25" t="s">
        <v>330</v>
      </c>
    </row>
    <row r="26" spans="1:8">
      <c r="A26">
        <v>25</v>
      </c>
      <c r="B26" t="s">
        <v>25</v>
      </c>
      <c r="C26" t="s">
        <v>426</v>
      </c>
      <c r="E26" s="1" t="s">
        <v>27</v>
      </c>
      <c r="F26">
        <f t="shared" si="0"/>
        <v>27</v>
      </c>
      <c r="G26">
        <v>99</v>
      </c>
      <c r="H26" t="s">
        <v>331</v>
      </c>
    </row>
    <row r="27" spans="1:8">
      <c r="A27">
        <v>26</v>
      </c>
      <c r="B27" t="s">
        <v>26</v>
      </c>
      <c r="C27" t="s">
        <v>427</v>
      </c>
      <c r="E27" s="1" t="s">
        <v>28</v>
      </c>
      <c r="F27">
        <f t="shared" si="0"/>
        <v>28</v>
      </c>
      <c r="G27">
        <v>101</v>
      </c>
      <c r="H27" t="s">
        <v>333</v>
      </c>
    </row>
    <row r="28" spans="1:8">
      <c r="A28">
        <v>27</v>
      </c>
      <c r="B28" t="s">
        <v>27</v>
      </c>
      <c r="C28" t="s">
        <v>428</v>
      </c>
      <c r="E28" s="1" t="s">
        <v>30</v>
      </c>
      <c r="F28">
        <f t="shared" si="0"/>
        <v>30</v>
      </c>
      <c r="G28">
        <v>107</v>
      </c>
      <c r="H28" t="s">
        <v>338</v>
      </c>
    </row>
    <row r="29" spans="1:8">
      <c r="A29">
        <v>28</v>
      </c>
      <c r="B29" t="s">
        <v>28</v>
      </c>
      <c r="C29" t="s">
        <v>429</v>
      </c>
      <c r="E29" s="1" t="s">
        <v>32</v>
      </c>
      <c r="F29">
        <f t="shared" si="0"/>
        <v>32</v>
      </c>
      <c r="G29">
        <v>116</v>
      </c>
      <c r="H29" t="s">
        <v>346</v>
      </c>
    </row>
    <row r="30" spans="1:8">
      <c r="A30">
        <v>29</v>
      </c>
      <c r="B30" t="s">
        <v>29</v>
      </c>
      <c r="C30" t="s">
        <v>430</v>
      </c>
      <c r="E30" s="1" t="s">
        <v>34</v>
      </c>
      <c r="F30">
        <f t="shared" si="0"/>
        <v>34</v>
      </c>
      <c r="G30">
        <v>121</v>
      </c>
      <c r="H30" t="s">
        <v>351</v>
      </c>
    </row>
    <row r="31" spans="1:8">
      <c r="A31">
        <v>30</v>
      </c>
      <c r="B31" t="s">
        <v>30</v>
      </c>
      <c r="C31" t="s">
        <v>431</v>
      </c>
      <c r="E31" s="1" t="s">
        <v>35</v>
      </c>
      <c r="F31">
        <f t="shared" si="0"/>
        <v>35</v>
      </c>
      <c r="G31">
        <v>123</v>
      </c>
      <c r="H31" t="s">
        <v>352</v>
      </c>
    </row>
    <row r="32" spans="1:8">
      <c r="A32">
        <v>31</v>
      </c>
      <c r="B32" t="s">
        <v>31</v>
      </c>
      <c r="C32" t="s">
        <v>432</v>
      </c>
      <c r="E32" s="1" t="s">
        <v>36</v>
      </c>
      <c r="F32">
        <f t="shared" si="0"/>
        <v>36</v>
      </c>
      <c r="G32">
        <v>125</v>
      </c>
      <c r="H32" t="s">
        <v>354</v>
      </c>
    </row>
    <row r="33" spans="1:8">
      <c r="A33">
        <v>32</v>
      </c>
      <c r="B33" t="s">
        <v>32</v>
      </c>
      <c r="C33" t="s">
        <v>433</v>
      </c>
      <c r="E33" s="1" t="s">
        <v>37</v>
      </c>
      <c r="F33">
        <f t="shared" si="0"/>
        <v>37</v>
      </c>
      <c r="G33">
        <v>126</v>
      </c>
      <c r="H33" t="s">
        <v>355</v>
      </c>
    </row>
    <row r="34" spans="1:8">
      <c r="A34">
        <v>33</v>
      </c>
      <c r="B34" t="s">
        <v>33</v>
      </c>
      <c r="C34" t="s">
        <v>434</v>
      </c>
      <c r="E34" s="1" t="s">
        <v>38</v>
      </c>
      <c r="F34">
        <f t="shared" ref="F34:F65" si="1">_xlfn.XLOOKUP(E34, B$2:B$231, A$2:A$231, 0)</f>
        <v>38</v>
      </c>
      <c r="G34">
        <v>127</v>
      </c>
      <c r="H34" t="s">
        <v>356</v>
      </c>
    </row>
    <row r="35" spans="1:8">
      <c r="A35">
        <v>34</v>
      </c>
      <c r="B35" t="s">
        <v>34</v>
      </c>
      <c r="C35" t="s">
        <v>435</v>
      </c>
      <c r="E35" s="1" t="s">
        <v>39</v>
      </c>
      <c r="F35">
        <f t="shared" si="1"/>
        <v>39</v>
      </c>
      <c r="G35">
        <v>128</v>
      </c>
      <c r="H35" t="s">
        <v>357</v>
      </c>
    </row>
    <row r="36" spans="1:8">
      <c r="A36">
        <v>35</v>
      </c>
      <c r="B36" t="s">
        <v>35</v>
      </c>
      <c r="C36" t="s">
        <v>436</v>
      </c>
      <c r="E36" s="1" t="s">
        <v>40</v>
      </c>
      <c r="F36">
        <f t="shared" si="1"/>
        <v>40</v>
      </c>
      <c r="G36">
        <v>172</v>
      </c>
      <c r="H36" t="s">
        <v>396</v>
      </c>
    </row>
    <row r="37" spans="1:8">
      <c r="A37">
        <v>36</v>
      </c>
      <c r="B37" t="s">
        <v>36</v>
      </c>
      <c r="C37" t="s">
        <v>437</v>
      </c>
      <c r="E37" s="1" t="s">
        <v>41</v>
      </c>
      <c r="F37">
        <f t="shared" si="1"/>
        <v>41</v>
      </c>
      <c r="G37">
        <v>175</v>
      </c>
      <c r="H37" t="s">
        <v>399</v>
      </c>
    </row>
    <row r="38" spans="1:8">
      <c r="A38">
        <v>37</v>
      </c>
      <c r="B38" t="s">
        <v>37</v>
      </c>
      <c r="C38" t="s">
        <v>438</v>
      </c>
      <c r="E38" s="1" t="s">
        <v>44</v>
      </c>
      <c r="F38">
        <f t="shared" si="1"/>
        <v>44</v>
      </c>
      <c r="G38">
        <v>131</v>
      </c>
      <c r="H38" t="s">
        <v>360</v>
      </c>
    </row>
    <row r="39" spans="1:8">
      <c r="A39">
        <v>38</v>
      </c>
      <c r="B39" t="s">
        <v>38</v>
      </c>
      <c r="C39" t="s">
        <v>439</v>
      </c>
      <c r="E39" s="1" t="s">
        <v>45</v>
      </c>
      <c r="F39">
        <f t="shared" si="1"/>
        <v>45</v>
      </c>
      <c r="G39">
        <v>133</v>
      </c>
      <c r="H39" t="s">
        <v>362</v>
      </c>
    </row>
    <row r="40" spans="1:8">
      <c r="A40">
        <v>39</v>
      </c>
      <c r="B40" t="s">
        <v>39</v>
      </c>
      <c r="C40" t="s">
        <v>440</v>
      </c>
      <c r="E40" s="1" t="s">
        <v>46</v>
      </c>
      <c r="F40">
        <f t="shared" si="1"/>
        <v>46</v>
      </c>
      <c r="G40">
        <v>165</v>
      </c>
      <c r="H40" t="s">
        <v>389</v>
      </c>
    </row>
    <row r="41" spans="1:8">
      <c r="A41">
        <v>40</v>
      </c>
      <c r="B41" t="s">
        <v>40</v>
      </c>
      <c r="C41" t="s">
        <v>441</v>
      </c>
      <c r="E41" s="1" t="s">
        <v>47</v>
      </c>
      <c r="F41">
        <f t="shared" si="1"/>
        <v>47</v>
      </c>
      <c r="G41">
        <v>138</v>
      </c>
      <c r="H41" t="s">
        <v>365</v>
      </c>
    </row>
    <row r="42" spans="1:8">
      <c r="A42">
        <v>41</v>
      </c>
      <c r="B42" t="s">
        <v>41</v>
      </c>
      <c r="C42" t="s">
        <v>442</v>
      </c>
      <c r="E42" s="1" t="s">
        <v>48</v>
      </c>
      <c r="F42">
        <f t="shared" si="1"/>
        <v>48</v>
      </c>
      <c r="G42">
        <v>147</v>
      </c>
      <c r="H42" t="s">
        <v>373</v>
      </c>
    </row>
    <row r="43" spans="1:8">
      <c r="A43">
        <v>42</v>
      </c>
      <c r="B43" t="s">
        <v>42</v>
      </c>
      <c r="C43" t="s">
        <v>443</v>
      </c>
      <c r="E43" s="1" t="s">
        <v>49</v>
      </c>
      <c r="F43">
        <f t="shared" si="1"/>
        <v>49</v>
      </c>
      <c r="G43">
        <v>130</v>
      </c>
      <c r="H43" t="s">
        <v>359</v>
      </c>
    </row>
    <row r="44" spans="1:8">
      <c r="A44">
        <v>43</v>
      </c>
      <c r="B44" t="s">
        <v>43</v>
      </c>
      <c r="C44" t="s">
        <v>444</v>
      </c>
      <c r="E44" s="1" t="s">
        <v>50</v>
      </c>
      <c r="F44">
        <f t="shared" si="1"/>
        <v>50</v>
      </c>
      <c r="G44">
        <v>15</v>
      </c>
      <c r="H44" t="s">
        <v>262</v>
      </c>
    </row>
    <row r="45" spans="1:8">
      <c r="A45">
        <v>44</v>
      </c>
      <c r="B45" t="s">
        <v>44</v>
      </c>
      <c r="C45" t="s">
        <v>445</v>
      </c>
      <c r="E45" s="1" t="s">
        <v>51</v>
      </c>
      <c r="F45">
        <f t="shared" si="1"/>
        <v>51</v>
      </c>
      <c r="G45">
        <v>17</v>
      </c>
      <c r="H45" t="s">
        <v>263</v>
      </c>
    </row>
    <row r="46" spans="1:8">
      <c r="A46">
        <v>45</v>
      </c>
      <c r="B46" t="s">
        <v>45</v>
      </c>
      <c r="C46" t="s">
        <v>446</v>
      </c>
      <c r="E46" s="1" t="s">
        <v>52</v>
      </c>
      <c r="F46">
        <f t="shared" si="1"/>
        <v>52</v>
      </c>
      <c r="G46">
        <v>18</v>
      </c>
      <c r="H46" t="s">
        <v>264</v>
      </c>
    </row>
    <row r="47" spans="1:8">
      <c r="A47">
        <v>46</v>
      </c>
      <c r="B47" t="s">
        <v>46</v>
      </c>
      <c r="C47" t="s">
        <v>447</v>
      </c>
      <c r="E47" s="1" t="s">
        <v>53</v>
      </c>
      <c r="F47">
        <f t="shared" si="1"/>
        <v>53</v>
      </c>
      <c r="G47">
        <v>20</v>
      </c>
      <c r="H47" t="s">
        <v>266</v>
      </c>
    </row>
    <row r="48" spans="1:8">
      <c r="A48">
        <v>47</v>
      </c>
      <c r="B48" t="s">
        <v>47</v>
      </c>
      <c r="C48" t="s">
        <v>448</v>
      </c>
      <c r="E48" s="1" t="s">
        <v>54</v>
      </c>
      <c r="F48">
        <f t="shared" si="1"/>
        <v>54</v>
      </c>
      <c r="G48">
        <v>21</v>
      </c>
      <c r="H48" t="s">
        <v>267</v>
      </c>
    </row>
    <row r="49" spans="1:8">
      <c r="A49">
        <v>48</v>
      </c>
      <c r="B49" t="s">
        <v>48</v>
      </c>
      <c r="C49" t="s">
        <v>449</v>
      </c>
      <c r="E49" s="1" t="s">
        <v>55</v>
      </c>
      <c r="F49">
        <f t="shared" si="1"/>
        <v>55</v>
      </c>
      <c r="G49">
        <v>43</v>
      </c>
      <c r="H49" t="s">
        <v>284</v>
      </c>
    </row>
    <row r="50" spans="1:8">
      <c r="A50">
        <v>49</v>
      </c>
      <c r="B50" t="s">
        <v>49</v>
      </c>
      <c r="C50" t="s">
        <v>450</v>
      </c>
      <c r="E50" s="1" t="s">
        <v>56</v>
      </c>
      <c r="F50">
        <f t="shared" si="1"/>
        <v>56</v>
      </c>
      <c r="G50">
        <v>46</v>
      </c>
      <c r="H50" t="s">
        <v>287</v>
      </c>
    </row>
    <row r="51" spans="1:8">
      <c r="A51">
        <v>50</v>
      </c>
      <c r="B51" t="s">
        <v>50</v>
      </c>
      <c r="C51" t="s">
        <v>451</v>
      </c>
      <c r="E51" s="1" t="s">
        <v>57</v>
      </c>
      <c r="F51">
        <f t="shared" si="1"/>
        <v>57</v>
      </c>
      <c r="G51">
        <v>171</v>
      </c>
      <c r="H51" t="s">
        <v>395</v>
      </c>
    </row>
    <row r="52" spans="1:8">
      <c r="A52">
        <v>51</v>
      </c>
      <c r="B52" t="s">
        <v>51</v>
      </c>
      <c r="C52" t="s">
        <v>452</v>
      </c>
      <c r="E52" s="1" t="s">
        <v>60</v>
      </c>
      <c r="F52">
        <f t="shared" si="1"/>
        <v>60</v>
      </c>
      <c r="G52">
        <v>72</v>
      </c>
      <c r="H52" t="s">
        <v>309</v>
      </c>
    </row>
    <row r="53" spans="1:8">
      <c r="A53">
        <v>52</v>
      </c>
      <c r="B53" t="s">
        <v>52</v>
      </c>
      <c r="C53" t="s">
        <v>453</v>
      </c>
      <c r="E53" s="1" t="s">
        <v>62</v>
      </c>
      <c r="F53">
        <f t="shared" si="1"/>
        <v>62</v>
      </c>
      <c r="G53">
        <v>84</v>
      </c>
      <c r="H53" t="s">
        <v>249</v>
      </c>
    </row>
    <row r="54" spans="1:8">
      <c r="A54">
        <v>53</v>
      </c>
      <c r="B54" t="s">
        <v>53</v>
      </c>
      <c r="C54" t="s">
        <v>454</v>
      </c>
      <c r="E54" s="1" t="s">
        <v>64</v>
      </c>
      <c r="F54">
        <f t="shared" si="1"/>
        <v>64</v>
      </c>
      <c r="G54">
        <v>108</v>
      </c>
      <c r="H54" t="s">
        <v>339</v>
      </c>
    </row>
    <row r="55" spans="1:8">
      <c r="A55">
        <v>54</v>
      </c>
      <c r="B55" t="s">
        <v>54</v>
      </c>
      <c r="C55" t="s">
        <v>455</v>
      </c>
      <c r="E55" s="1" t="s">
        <v>66</v>
      </c>
      <c r="F55">
        <f t="shared" si="1"/>
        <v>66</v>
      </c>
      <c r="G55">
        <v>115</v>
      </c>
      <c r="H55" t="s">
        <v>345</v>
      </c>
    </row>
    <row r="56" spans="1:8">
      <c r="A56">
        <v>55</v>
      </c>
      <c r="B56" t="s">
        <v>55</v>
      </c>
      <c r="C56" t="s">
        <v>456</v>
      </c>
      <c r="E56" s="1" t="s">
        <v>67</v>
      </c>
      <c r="F56">
        <f t="shared" si="1"/>
        <v>67</v>
      </c>
      <c r="G56">
        <v>119</v>
      </c>
      <c r="H56" t="s">
        <v>349</v>
      </c>
    </row>
    <row r="57" spans="1:8">
      <c r="A57">
        <v>56</v>
      </c>
      <c r="B57" t="s">
        <v>56</v>
      </c>
      <c r="C57" t="s">
        <v>457</v>
      </c>
      <c r="E57" s="1" t="s">
        <v>71</v>
      </c>
      <c r="F57">
        <f t="shared" si="1"/>
        <v>71</v>
      </c>
      <c r="G57">
        <v>162</v>
      </c>
      <c r="H57" t="s">
        <v>386</v>
      </c>
    </row>
    <row r="58" spans="1:8">
      <c r="A58">
        <v>57</v>
      </c>
      <c r="B58" t="s">
        <v>57</v>
      </c>
      <c r="C58" t="s">
        <v>458</v>
      </c>
      <c r="E58" s="1" t="s">
        <v>73</v>
      </c>
      <c r="F58">
        <f t="shared" si="1"/>
        <v>73</v>
      </c>
      <c r="G58">
        <v>129</v>
      </c>
      <c r="H58" t="s">
        <v>358</v>
      </c>
    </row>
    <row r="59" spans="1:8">
      <c r="A59">
        <v>58</v>
      </c>
      <c r="B59" t="s">
        <v>58</v>
      </c>
      <c r="C59" t="s">
        <v>459</v>
      </c>
      <c r="E59" s="1" t="s">
        <v>74</v>
      </c>
      <c r="F59">
        <f t="shared" si="1"/>
        <v>74</v>
      </c>
      <c r="G59">
        <v>136</v>
      </c>
      <c r="H59" t="s">
        <v>287</v>
      </c>
    </row>
    <row r="60" spans="1:8">
      <c r="A60">
        <v>59</v>
      </c>
      <c r="B60" t="s">
        <v>59</v>
      </c>
      <c r="C60" t="s">
        <v>460</v>
      </c>
      <c r="E60" s="1" t="s">
        <v>75</v>
      </c>
      <c r="F60">
        <f t="shared" si="1"/>
        <v>75</v>
      </c>
      <c r="G60">
        <v>137</v>
      </c>
      <c r="H60" t="s">
        <v>364</v>
      </c>
    </row>
    <row r="61" spans="1:8">
      <c r="A61">
        <v>60</v>
      </c>
      <c r="B61" t="s">
        <v>60</v>
      </c>
      <c r="C61" t="s">
        <v>461</v>
      </c>
      <c r="E61" s="1" t="s">
        <v>77</v>
      </c>
      <c r="F61">
        <f t="shared" si="1"/>
        <v>77</v>
      </c>
      <c r="G61">
        <v>148</v>
      </c>
      <c r="H61" t="s">
        <v>374</v>
      </c>
    </row>
    <row r="62" spans="1:8">
      <c r="A62">
        <v>61</v>
      </c>
      <c r="B62" t="s">
        <v>61</v>
      </c>
      <c r="C62" t="s">
        <v>462</v>
      </c>
      <c r="E62" s="1" t="s">
        <v>78</v>
      </c>
      <c r="F62">
        <f t="shared" si="1"/>
        <v>78</v>
      </c>
      <c r="G62">
        <v>149</v>
      </c>
      <c r="H62" t="s">
        <v>375</v>
      </c>
    </row>
    <row r="63" spans="1:8">
      <c r="A63">
        <v>62</v>
      </c>
      <c r="B63" t="s">
        <v>62</v>
      </c>
      <c r="C63" t="s">
        <v>463</v>
      </c>
      <c r="E63" s="1" t="s">
        <v>79</v>
      </c>
      <c r="F63">
        <f t="shared" si="1"/>
        <v>79</v>
      </c>
      <c r="G63">
        <v>150</v>
      </c>
      <c r="H63" t="s">
        <v>376</v>
      </c>
    </row>
    <row r="64" spans="1:8">
      <c r="A64">
        <v>63</v>
      </c>
      <c r="B64" t="s">
        <v>63</v>
      </c>
      <c r="C64" t="s">
        <v>464</v>
      </c>
      <c r="E64" s="1" t="s">
        <v>82</v>
      </c>
      <c r="F64">
        <f t="shared" si="1"/>
        <v>82</v>
      </c>
      <c r="G64">
        <v>151</v>
      </c>
      <c r="H64" t="s">
        <v>377</v>
      </c>
    </row>
    <row r="65" spans="1:8">
      <c r="A65">
        <v>64</v>
      </c>
      <c r="B65" t="s">
        <v>64</v>
      </c>
      <c r="C65" t="s">
        <v>465</v>
      </c>
      <c r="E65" s="1" t="s">
        <v>88</v>
      </c>
      <c r="F65">
        <f t="shared" si="1"/>
        <v>88</v>
      </c>
      <c r="G65">
        <v>152</v>
      </c>
      <c r="H65" t="s">
        <v>378</v>
      </c>
    </row>
    <row r="66" spans="1:8">
      <c r="A66">
        <v>65</v>
      </c>
      <c r="B66" t="s">
        <v>65</v>
      </c>
      <c r="C66" t="s">
        <v>466</v>
      </c>
      <c r="E66" s="1" t="s">
        <v>90</v>
      </c>
      <c r="F66">
        <f t="shared" ref="F66:F97" si="2">_xlfn.XLOOKUP(E66, B$2:B$231, A$2:A$231, 0)</f>
        <v>90</v>
      </c>
      <c r="G66">
        <v>153</v>
      </c>
      <c r="H66" t="s">
        <v>264</v>
      </c>
    </row>
    <row r="67" spans="1:8">
      <c r="A67">
        <v>66</v>
      </c>
      <c r="B67" t="s">
        <v>66</v>
      </c>
      <c r="C67" t="s">
        <v>467</v>
      </c>
      <c r="E67" s="1" t="s">
        <v>93</v>
      </c>
      <c r="F67">
        <f t="shared" si="2"/>
        <v>93</v>
      </c>
      <c r="G67">
        <v>168</v>
      </c>
      <c r="H67" t="s">
        <v>392</v>
      </c>
    </row>
    <row r="68" spans="1:8">
      <c r="A68">
        <v>67</v>
      </c>
      <c r="B68" t="s">
        <v>67</v>
      </c>
      <c r="C68" t="s">
        <v>468</v>
      </c>
      <c r="E68" s="1" t="s">
        <v>94</v>
      </c>
      <c r="F68">
        <f t="shared" si="2"/>
        <v>94</v>
      </c>
      <c r="G68">
        <v>155</v>
      </c>
      <c r="H68" t="s">
        <v>287</v>
      </c>
    </row>
    <row r="69" spans="1:8">
      <c r="A69">
        <v>68</v>
      </c>
      <c r="B69" t="s">
        <v>68</v>
      </c>
      <c r="C69" t="s">
        <v>469</v>
      </c>
      <c r="E69" s="1" t="s">
        <v>95</v>
      </c>
      <c r="F69">
        <f t="shared" si="2"/>
        <v>95</v>
      </c>
      <c r="G69">
        <v>156</v>
      </c>
      <c r="H69" t="s">
        <v>380</v>
      </c>
    </row>
    <row r="70" spans="1:8">
      <c r="A70">
        <v>69</v>
      </c>
      <c r="B70" t="s">
        <v>69</v>
      </c>
      <c r="C70" t="s">
        <v>470</v>
      </c>
      <c r="E70" s="1" t="s">
        <v>97</v>
      </c>
      <c r="F70">
        <f t="shared" si="2"/>
        <v>97</v>
      </c>
      <c r="G70">
        <v>157</v>
      </c>
      <c r="H70" t="s">
        <v>381</v>
      </c>
    </row>
    <row r="71" spans="1:8">
      <c r="A71">
        <v>70</v>
      </c>
      <c r="B71" t="s">
        <v>70</v>
      </c>
      <c r="C71" t="s">
        <v>471</v>
      </c>
      <c r="E71" s="1" t="s">
        <v>99</v>
      </c>
      <c r="F71">
        <f t="shared" si="2"/>
        <v>99</v>
      </c>
      <c r="G71">
        <v>160</v>
      </c>
      <c r="H71" t="s">
        <v>384</v>
      </c>
    </row>
    <row r="72" spans="1:8">
      <c r="A72">
        <v>71</v>
      </c>
      <c r="B72" t="s">
        <v>71</v>
      </c>
      <c r="C72" t="s">
        <v>472</v>
      </c>
      <c r="E72" s="1" t="s">
        <v>244</v>
      </c>
      <c r="F72">
        <f t="shared" si="2"/>
        <v>100</v>
      </c>
      <c r="G72">
        <v>1</v>
      </c>
      <c r="H72" t="s">
        <v>249</v>
      </c>
    </row>
    <row r="73" spans="1:8">
      <c r="A73">
        <v>72</v>
      </c>
      <c r="B73" t="s">
        <v>72</v>
      </c>
      <c r="C73" t="s">
        <v>473</v>
      </c>
      <c r="E73" s="1" t="s">
        <v>101</v>
      </c>
      <c r="F73">
        <f t="shared" si="2"/>
        <v>101</v>
      </c>
      <c r="G73">
        <v>2</v>
      </c>
      <c r="H73" t="s">
        <v>250</v>
      </c>
    </row>
    <row r="74" spans="1:8">
      <c r="A74">
        <v>73</v>
      </c>
      <c r="B74" t="s">
        <v>73</v>
      </c>
      <c r="C74" t="s">
        <v>474</v>
      </c>
      <c r="E74" s="1" t="s">
        <v>109</v>
      </c>
      <c r="F74">
        <f t="shared" si="2"/>
        <v>109</v>
      </c>
      <c r="G74">
        <v>29</v>
      </c>
      <c r="H74" t="s">
        <v>274</v>
      </c>
    </row>
    <row r="75" spans="1:8">
      <c r="A75">
        <v>74</v>
      </c>
      <c r="B75" t="s">
        <v>74</v>
      </c>
      <c r="C75" t="s">
        <v>475</v>
      </c>
      <c r="E75" s="1" t="s">
        <v>110</v>
      </c>
      <c r="F75">
        <f t="shared" si="2"/>
        <v>110</v>
      </c>
      <c r="G75">
        <v>161</v>
      </c>
      <c r="H75" t="s">
        <v>385</v>
      </c>
    </row>
    <row r="76" spans="1:8">
      <c r="A76">
        <v>75</v>
      </c>
      <c r="B76" t="s">
        <v>75</v>
      </c>
      <c r="C76" t="s">
        <v>476</v>
      </c>
      <c r="E76" s="1" t="s">
        <v>114</v>
      </c>
      <c r="F76">
        <f t="shared" si="2"/>
        <v>114</v>
      </c>
      <c r="G76">
        <v>30</v>
      </c>
      <c r="H76" t="s">
        <v>250</v>
      </c>
    </row>
    <row r="77" spans="1:8">
      <c r="A77">
        <v>76</v>
      </c>
      <c r="B77" t="s">
        <v>76</v>
      </c>
      <c r="C77" t="s">
        <v>477</v>
      </c>
      <c r="E77" s="1" t="s">
        <v>115</v>
      </c>
      <c r="F77">
        <f t="shared" si="2"/>
        <v>115</v>
      </c>
      <c r="G77">
        <v>31</v>
      </c>
      <c r="H77" t="s">
        <v>250</v>
      </c>
    </row>
    <row r="78" spans="1:8">
      <c r="A78">
        <v>77</v>
      </c>
      <c r="B78" t="s">
        <v>77</v>
      </c>
      <c r="C78" t="s">
        <v>478</v>
      </c>
      <c r="E78" s="1" t="s">
        <v>116</v>
      </c>
      <c r="F78">
        <f t="shared" si="2"/>
        <v>116</v>
      </c>
      <c r="G78">
        <v>38</v>
      </c>
      <c r="H78" t="s">
        <v>250</v>
      </c>
    </row>
    <row r="79" spans="1:8">
      <c r="A79">
        <v>78</v>
      </c>
      <c r="B79" t="s">
        <v>78</v>
      </c>
      <c r="C79" t="s">
        <v>479</v>
      </c>
      <c r="E79" s="1" t="s">
        <v>117</v>
      </c>
      <c r="F79">
        <f t="shared" si="2"/>
        <v>117</v>
      </c>
      <c r="G79">
        <v>71</v>
      </c>
      <c r="H79" t="s">
        <v>308</v>
      </c>
    </row>
    <row r="80" spans="1:8">
      <c r="A80">
        <v>79</v>
      </c>
      <c r="B80" t="s">
        <v>79</v>
      </c>
      <c r="C80" t="s">
        <v>480</v>
      </c>
      <c r="E80" s="1" t="s">
        <v>118</v>
      </c>
      <c r="F80">
        <f t="shared" si="2"/>
        <v>118</v>
      </c>
      <c r="G80">
        <v>77</v>
      </c>
      <c r="H80" t="s">
        <v>249</v>
      </c>
    </row>
    <row r="81" spans="1:8">
      <c r="A81">
        <v>80</v>
      </c>
      <c r="B81" t="s">
        <v>80</v>
      </c>
      <c r="C81" t="s">
        <v>481</v>
      </c>
      <c r="E81" s="1" t="s">
        <v>119</v>
      </c>
      <c r="F81">
        <f t="shared" si="2"/>
        <v>119</v>
      </c>
      <c r="G81">
        <v>88</v>
      </c>
      <c r="H81" t="s">
        <v>322</v>
      </c>
    </row>
    <row r="82" spans="1:8">
      <c r="A82">
        <v>81</v>
      </c>
      <c r="B82" t="s">
        <v>81</v>
      </c>
      <c r="C82" t="s">
        <v>482</v>
      </c>
      <c r="E82" s="1" t="s">
        <v>120</v>
      </c>
      <c r="F82">
        <f t="shared" si="2"/>
        <v>120</v>
      </c>
      <c r="G82">
        <v>90</v>
      </c>
      <c r="H82" t="s">
        <v>324</v>
      </c>
    </row>
    <row r="83" spans="1:8">
      <c r="A83">
        <v>82</v>
      </c>
      <c r="B83" t="s">
        <v>82</v>
      </c>
      <c r="C83" t="s">
        <v>483</v>
      </c>
      <c r="E83" s="1" t="s">
        <v>121</v>
      </c>
      <c r="F83">
        <f t="shared" si="2"/>
        <v>121</v>
      </c>
      <c r="G83">
        <v>91</v>
      </c>
      <c r="H83" t="s">
        <v>325</v>
      </c>
    </row>
    <row r="84" spans="1:8">
      <c r="A84">
        <v>83</v>
      </c>
      <c r="B84" t="s">
        <v>83</v>
      </c>
      <c r="C84" t="s">
        <v>484</v>
      </c>
      <c r="E84" s="1" t="s">
        <v>122</v>
      </c>
      <c r="F84">
        <f t="shared" si="2"/>
        <v>122</v>
      </c>
      <c r="G84">
        <v>92</v>
      </c>
      <c r="H84" t="s">
        <v>249</v>
      </c>
    </row>
    <row r="85" spans="1:8">
      <c r="A85">
        <v>84</v>
      </c>
      <c r="B85" t="s">
        <v>84</v>
      </c>
      <c r="C85" t="s">
        <v>485</v>
      </c>
      <c r="E85" s="1" t="s">
        <v>123</v>
      </c>
      <c r="F85">
        <f t="shared" si="2"/>
        <v>123</v>
      </c>
      <c r="G85">
        <v>102</v>
      </c>
      <c r="H85" t="s">
        <v>250</v>
      </c>
    </row>
    <row r="86" spans="1:8">
      <c r="A86">
        <v>85</v>
      </c>
      <c r="B86" t="s">
        <v>85</v>
      </c>
      <c r="C86" t="s">
        <v>484</v>
      </c>
      <c r="E86" s="1" t="s">
        <v>124</v>
      </c>
      <c r="F86">
        <f t="shared" si="2"/>
        <v>124</v>
      </c>
      <c r="G86">
        <v>109</v>
      </c>
      <c r="H86" t="s">
        <v>340</v>
      </c>
    </row>
    <row r="87" spans="1:8">
      <c r="A87">
        <v>86</v>
      </c>
      <c r="B87" t="s">
        <v>86</v>
      </c>
      <c r="C87" t="s">
        <v>486</v>
      </c>
      <c r="E87" s="1" t="s">
        <v>126</v>
      </c>
      <c r="F87">
        <f t="shared" si="2"/>
        <v>126</v>
      </c>
      <c r="G87">
        <v>132</v>
      </c>
      <c r="H87" t="s">
        <v>361</v>
      </c>
    </row>
    <row r="88" spans="1:8">
      <c r="A88">
        <v>87</v>
      </c>
      <c r="B88" t="s">
        <v>87</v>
      </c>
      <c r="C88" t="s">
        <v>487</v>
      </c>
      <c r="E88" s="1" t="s">
        <v>127</v>
      </c>
      <c r="F88">
        <f t="shared" si="2"/>
        <v>127</v>
      </c>
      <c r="G88">
        <v>134</v>
      </c>
      <c r="H88" t="s">
        <v>363</v>
      </c>
    </row>
    <row r="89" spans="1:8">
      <c r="A89">
        <v>88</v>
      </c>
      <c r="B89" t="s">
        <v>88</v>
      </c>
      <c r="C89" t="s">
        <v>488</v>
      </c>
      <c r="E89" s="1" t="s">
        <v>128</v>
      </c>
      <c r="F89">
        <f t="shared" si="2"/>
        <v>128</v>
      </c>
      <c r="G89">
        <v>135</v>
      </c>
      <c r="H89" t="s">
        <v>249</v>
      </c>
    </row>
    <row r="90" spans="1:8">
      <c r="A90">
        <v>89</v>
      </c>
      <c r="B90" t="s">
        <v>89</v>
      </c>
      <c r="C90" t="s">
        <v>489</v>
      </c>
      <c r="E90" s="1" t="s">
        <v>129</v>
      </c>
      <c r="F90">
        <f t="shared" si="2"/>
        <v>129</v>
      </c>
      <c r="G90">
        <v>173</v>
      </c>
      <c r="H90" t="s">
        <v>397</v>
      </c>
    </row>
    <row r="91" spans="1:8">
      <c r="A91">
        <v>90</v>
      </c>
      <c r="B91" t="s">
        <v>90</v>
      </c>
      <c r="C91" t="s">
        <v>490</v>
      </c>
      <c r="E91" s="1" t="s">
        <v>130</v>
      </c>
      <c r="F91">
        <f t="shared" si="2"/>
        <v>130</v>
      </c>
      <c r="G91">
        <v>9</v>
      </c>
      <c r="H91" t="s">
        <v>256</v>
      </c>
    </row>
    <row r="92" spans="1:8">
      <c r="A92">
        <v>91</v>
      </c>
      <c r="B92" t="s">
        <v>91</v>
      </c>
      <c r="C92" t="s">
        <v>491</v>
      </c>
      <c r="E92" s="1" t="s">
        <v>132</v>
      </c>
      <c r="F92">
        <f t="shared" si="2"/>
        <v>132</v>
      </c>
      <c r="G92">
        <v>14</v>
      </c>
      <c r="H92" t="s">
        <v>261</v>
      </c>
    </row>
    <row r="93" spans="1:8">
      <c r="A93">
        <v>92</v>
      </c>
      <c r="B93" t="s">
        <v>92</v>
      </c>
      <c r="C93" t="s">
        <v>492</v>
      </c>
      <c r="E93" s="1" t="s">
        <v>133</v>
      </c>
      <c r="F93">
        <f t="shared" si="2"/>
        <v>133</v>
      </c>
      <c r="G93">
        <v>167</v>
      </c>
      <c r="H93" t="s">
        <v>391</v>
      </c>
    </row>
    <row r="94" spans="1:8">
      <c r="A94">
        <v>93</v>
      </c>
      <c r="B94" t="s">
        <v>93</v>
      </c>
      <c r="C94" t="s">
        <v>493</v>
      </c>
      <c r="E94" s="1" t="s">
        <v>134</v>
      </c>
      <c r="F94">
        <f t="shared" si="2"/>
        <v>134</v>
      </c>
      <c r="G94">
        <v>24</v>
      </c>
      <c r="H94" t="s">
        <v>249</v>
      </c>
    </row>
    <row r="95" spans="1:8">
      <c r="A95">
        <v>94</v>
      </c>
      <c r="B95" t="s">
        <v>94</v>
      </c>
      <c r="C95" t="s">
        <v>494</v>
      </c>
      <c r="E95" s="1" t="s">
        <v>136</v>
      </c>
      <c r="F95">
        <f t="shared" si="2"/>
        <v>136</v>
      </c>
      <c r="G95">
        <v>25</v>
      </c>
      <c r="H95" t="s">
        <v>270</v>
      </c>
    </row>
    <row r="96" spans="1:8">
      <c r="A96">
        <v>95</v>
      </c>
      <c r="B96" t="s">
        <v>95</v>
      </c>
      <c r="C96" t="s">
        <v>495</v>
      </c>
      <c r="E96" s="1" t="s">
        <v>137</v>
      </c>
      <c r="F96">
        <f t="shared" si="2"/>
        <v>137</v>
      </c>
      <c r="G96">
        <v>32</v>
      </c>
      <c r="H96" t="s">
        <v>275</v>
      </c>
    </row>
    <row r="97" spans="1:8">
      <c r="A97">
        <v>96</v>
      </c>
      <c r="B97" t="s">
        <v>96</v>
      </c>
      <c r="C97" t="s">
        <v>496</v>
      </c>
      <c r="E97" s="1" t="s">
        <v>138</v>
      </c>
      <c r="F97">
        <f t="shared" si="2"/>
        <v>138</v>
      </c>
      <c r="G97">
        <v>33</v>
      </c>
      <c r="H97" t="s">
        <v>276</v>
      </c>
    </row>
    <row r="98" spans="1:8">
      <c r="A98">
        <v>97</v>
      </c>
      <c r="B98" t="s">
        <v>97</v>
      </c>
      <c r="C98" t="s">
        <v>497</v>
      </c>
      <c r="E98" s="1" t="s">
        <v>233</v>
      </c>
      <c r="F98">
        <f t="shared" ref="F98:F129" si="3">_xlfn.XLOOKUP(E98, B$2:B$231, A$2:A$231, 0)</f>
        <v>139</v>
      </c>
      <c r="G98">
        <v>34</v>
      </c>
      <c r="H98" t="s">
        <v>277</v>
      </c>
    </row>
    <row r="99" spans="1:8">
      <c r="A99">
        <v>98</v>
      </c>
      <c r="B99" t="s">
        <v>98</v>
      </c>
      <c r="C99" t="s">
        <v>498</v>
      </c>
      <c r="E99" s="1" t="s">
        <v>141</v>
      </c>
      <c r="F99">
        <f t="shared" si="3"/>
        <v>141</v>
      </c>
      <c r="G99">
        <v>40</v>
      </c>
      <c r="H99" t="s">
        <v>281</v>
      </c>
    </row>
    <row r="100" spans="1:8">
      <c r="A100">
        <v>99</v>
      </c>
      <c r="B100" t="s">
        <v>99</v>
      </c>
      <c r="C100" t="s">
        <v>499</v>
      </c>
      <c r="E100" s="1" t="s">
        <v>142</v>
      </c>
      <c r="F100">
        <f t="shared" si="3"/>
        <v>142</v>
      </c>
      <c r="G100">
        <v>41</v>
      </c>
      <c r="H100" t="s">
        <v>282</v>
      </c>
    </row>
    <row r="101" spans="1:8">
      <c r="A101">
        <v>100</v>
      </c>
      <c r="B101" t="s">
        <v>100</v>
      </c>
      <c r="C101" t="s">
        <v>500</v>
      </c>
      <c r="E101" s="1" t="s">
        <v>143</v>
      </c>
      <c r="F101">
        <f t="shared" si="3"/>
        <v>143</v>
      </c>
      <c r="G101">
        <v>74</v>
      </c>
      <c r="H101" t="s">
        <v>311</v>
      </c>
    </row>
    <row r="102" spans="1:8">
      <c r="A102">
        <v>101</v>
      </c>
      <c r="B102" t="s">
        <v>101</v>
      </c>
      <c r="C102" t="s">
        <v>501</v>
      </c>
      <c r="E102" s="1" t="s">
        <v>144</v>
      </c>
      <c r="F102">
        <f t="shared" si="3"/>
        <v>144</v>
      </c>
      <c r="G102">
        <v>76</v>
      </c>
      <c r="H102" t="s">
        <v>313</v>
      </c>
    </row>
    <row r="103" spans="1:8">
      <c r="A103">
        <v>102</v>
      </c>
      <c r="B103" t="s">
        <v>102</v>
      </c>
      <c r="C103" t="s">
        <v>502</v>
      </c>
      <c r="E103" s="1" t="s">
        <v>145</v>
      </c>
      <c r="F103">
        <f t="shared" si="3"/>
        <v>145</v>
      </c>
      <c r="G103">
        <v>80</v>
      </c>
      <c r="H103" t="s">
        <v>316</v>
      </c>
    </row>
    <row r="104" spans="1:8">
      <c r="A104">
        <v>103</v>
      </c>
      <c r="B104" t="s">
        <v>103</v>
      </c>
      <c r="C104" t="s">
        <v>503</v>
      </c>
      <c r="E104" s="1" t="s">
        <v>146</v>
      </c>
      <c r="F104">
        <f t="shared" si="3"/>
        <v>146</v>
      </c>
      <c r="G104">
        <v>81</v>
      </c>
      <c r="H104" t="s">
        <v>277</v>
      </c>
    </row>
    <row r="105" spans="1:8">
      <c r="A105">
        <v>104</v>
      </c>
      <c r="B105" t="s">
        <v>104</v>
      </c>
      <c r="C105" t="s">
        <v>504</v>
      </c>
      <c r="E105" s="1" t="s">
        <v>147</v>
      </c>
      <c r="F105">
        <f t="shared" si="3"/>
        <v>147</v>
      </c>
      <c r="G105">
        <v>163</v>
      </c>
      <c r="H105" t="s">
        <v>387</v>
      </c>
    </row>
    <row r="106" spans="1:8">
      <c r="A106">
        <v>105</v>
      </c>
      <c r="B106" t="s">
        <v>105</v>
      </c>
      <c r="C106" t="s">
        <v>505</v>
      </c>
      <c r="E106" s="1" t="s">
        <v>148</v>
      </c>
      <c r="F106">
        <f t="shared" si="3"/>
        <v>148</v>
      </c>
      <c r="G106">
        <v>164</v>
      </c>
      <c r="H106" t="s">
        <v>388</v>
      </c>
    </row>
    <row r="107" spans="1:8">
      <c r="A107">
        <v>106</v>
      </c>
      <c r="B107" t="s">
        <v>106</v>
      </c>
      <c r="C107" t="s">
        <v>506</v>
      </c>
      <c r="E107" s="1" t="s">
        <v>151</v>
      </c>
      <c r="F107">
        <f t="shared" si="3"/>
        <v>151</v>
      </c>
      <c r="G107">
        <v>94</v>
      </c>
      <c r="H107" t="s">
        <v>327</v>
      </c>
    </row>
    <row r="108" spans="1:8">
      <c r="A108">
        <v>107</v>
      </c>
      <c r="B108" t="s">
        <v>107</v>
      </c>
      <c r="C108" t="s">
        <v>507</v>
      </c>
      <c r="E108" s="1" t="s">
        <v>152</v>
      </c>
      <c r="F108">
        <f t="shared" si="3"/>
        <v>152</v>
      </c>
      <c r="G108">
        <v>95</v>
      </c>
      <c r="H108" t="s">
        <v>328</v>
      </c>
    </row>
    <row r="109" spans="1:8">
      <c r="A109">
        <v>108</v>
      </c>
      <c r="B109" t="s">
        <v>108</v>
      </c>
      <c r="C109" t="s">
        <v>508</v>
      </c>
      <c r="E109" s="1" t="s">
        <v>153</v>
      </c>
      <c r="F109">
        <f t="shared" si="3"/>
        <v>153</v>
      </c>
      <c r="G109">
        <v>96</v>
      </c>
      <c r="H109" t="s">
        <v>329</v>
      </c>
    </row>
    <row r="110" spans="1:8">
      <c r="A110">
        <v>109</v>
      </c>
      <c r="B110" t="s">
        <v>109</v>
      </c>
      <c r="C110" t="s">
        <v>509</v>
      </c>
      <c r="E110" s="1" t="s">
        <v>154</v>
      </c>
      <c r="F110">
        <f t="shared" si="3"/>
        <v>154</v>
      </c>
      <c r="G110">
        <v>69</v>
      </c>
      <c r="H110" t="s">
        <v>306</v>
      </c>
    </row>
    <row r="111" spans="1:8">
      <c r="A111">
        <v>110</v>
      </c>
      <c r="B111" t="s">
        <v>110</v>
      </c>
      <c r="C111" t="s">
        <v>510</v>
      </c>
      <c r="E111" s="1" t="s">
        <v>155</v>
      </c>
      <c r="F111">
        <f t="shared" si="3"/>
        <v>155</v>
      </c>
      <c r="G111">
        <v>97</v>
      </c>
      <c r="H111" t="s">
        <v>277</v>
      </c>
    </row>
    <row r="112" spans="1:8">
      <c r="A112">
        <v>111</v>
      </c>
      <c r="B112" t="s">
        <v>111</v>
      </c>
      <c r="C112" t="s">
        <v>511</v>
      </c>
      <c r="E112" s="1" t="s">
        <v>156</v>
      </c>
      <c r="F112">
        <f t="shared" si="3"/>
        <v>156</v>
      </c>
      <c r="G112">
        <v>87</v>
      </c>
      <c r="H112" t="s">
        <v>321</v>
      </c>
    </row>
    <row r="113" spans="1:8">
      <c r="A113">
        <v>112</v>
      </c>
      <c r="B113" t="s">
        <v>112</v>
      </c>
      <c r="C113" t="s">
        <v>512</v>
      </c>
      <c r="E113" s="1" t="s">
        <v>157</v>
      </c>
      <c r="F113">
        <f t="shared" si="3"/>
        <v>157</v>
      </c>
      <c r="G113">
        <v>111</v>
      </c>
      <c r="H113" t="s">
        <v>341</v>
      </c>
    </row>
    <row r="114" spans="1:8">
      <c r="A114">
        <v>113</v>
      </c>
      <c r="B114" t="s">
        <v>113</v>
      </c>
      <c r="C114" t="s">
        <v>513</v>
      </c>
      <c r="E114" s="1" t="s">
        <v>158</v>
      </c>
      <c r="F114">
        <f t="shared" si="3"/>
        <v>158</v>
      </c>
      <c r="G114">
        <v>112</v>
      </c>
      <c r="H114" t="s">
        <v>342</v>
      </c>
    </row>
    <row r="115" spans="1:8">
      <c r="A115">
        <v>114</v>
      </c>
      <c r="B115" t="s">
        <v>114</v>
      </c>
      <c r="C115" t="s">
        <v>514</v>
      </c>
      <c r="E115" s="1" t="s">
        <v>159</v>
      </c>
      <c r="F115">
        <f t="shared" si="3"/>
        <v>159</v>
      </c>
      <c r="G115">
        <v>113</v>
      </c>
      <c r="H115" t="s">
        <v>343</v>
      </c>
    </row>
    <row r="116" spans="1:8">
      <c r="A116">
        <v>115</v>
      </c>
      <c r="B116" t="s">
        <v>115</v>
      </c>
      <c r="C116" t="s">
        <v>515</v>
      </c>
      <c r="E116" s="1" t="s">
        <v>160</v>
      </c>
      <c r="F116">
        <f t="shared" si="3"/>
        <v>160</v>
      </c>
      <c r="G116">
        <v>154</v>
      </c>
      <c r="H116" t="s">
        <v>379</v>
      </c>
    </row>
    <row r="117" spans="1:8">
      <c r="A117">
        <v>116</v>
      </c>
      <c r="B117" t="s">
        <v>116</v>
      </c>
      <c r="C117" t="s">
        <v>516</v>
      </c>
      <c r="E117" s="1" t="s">
        <v>162</v>
      </c>
      <c r="F117">
        <f t="shared" si="3"/>
        <v>162</v>
      </c>
      <c r="G117">
        <v>4</v>
      </c>
      <c r="H117" t="s">
        <v>252</v>
      </c>
    </row>
    <row r="118" spans="1:8">
      <c r="A118">
        <v>117</v>
      </c>
      <c r="B118" t="s">
        <v>117</v>
      </c>
      <c r="C118" t="s">
        <v>517</v>
      </c>
      <c r="E118" s="1" t="s">
        <v>164</v>
      </c>
      <c r="F118">
        <f t="shared" si="3"/>
        <v>164</v>
      </c>
      <c r="G118">
        <v>5</v>
      </c>
      <c r="H118" t="s">
        <v>253</v>
      </c>
    </row>
    <row r="119" spans="1:8">
      <c r="A119">
        <v>118</v>
      </c>
      <c r="B119" t="s">
        <v>118</v>
      </c>
      <c r="C119" t="s">
        <v>518</v>
      </c>
      <c r="E119" s="1" t="s">
        <v>166</v>
      </c>
      <c r="F119">
        <f t="shared" si="3"/>
        <v>166</v>
      </c>
      <c r="G119">
        <v>6</v>
      </c>
      <c r="H119" t="s">
        <v>249</v>
      </c>
    </row>
    <row r="120" spans="1:8">
      <c r="A120">
        <v>119</v>
      </c>
      <c r="B120" t="s">
        <v>119</v>
      </c>
      <c r="C120" t="s">
        <v>519</v>
      </c>
      <c r="E120" s="1" t="s">
        <v>167</v>
      </c>
      <c r="F120">
        <f t="shared" si="3"/>
        <v>167</v>
      </c>
      <c r="G120">
        <v>7</v>
      </c>
      <c r="H120" t="s">
        <v>254</v>
      </c>
    </row>
    <row r="121" spans="1:8">
      <c r="A121">
        <v>120</v>
      </c>
      <c r="B121" t="s">
        <v>120</v>
      </c>
      <c r="C121" t="s">
        <v>520</v>
      </c>
      <c r="E121" s="1" t="s">
        <v>168</v>
      </c>
      <c r="F121">
        <f t="shared" si="3"/>
        <v>168</v>
      </c>
      <c r="G121">
        <v>8</v>
      </c>
      <c r="H121" t="s">
        <v>255</v>
      </c>
    </row>
    <row r="122" spans="1:8">
      <c r="A122">
        <v>121</v>
      </c>
      <c r="B122" t="s">
        <v>121</v>
      </c>
      <c r="C122" t="s">
        <v>521</v>
      </c>
      <c r="E122" s="1" t="s">
        <v>170</v>
      </c>
      <c r="F122">
        <f t="shared" si="3"/>
        <v>170</v>
      </c>
      <c r="G122">
        <v>10</v>
      </c>
      <c r="H122" t="s">
        <v>257</v>
      </c>
    </row>
    <row r="123" spans="1:8">
      <c r="A123">
        <v>122</v>
      </c>
      <c r="B123" t="s">
        <v>122</v>
      </c>
      <c r="C123" t="s">
        <v>522</v>
      </c>
      <c r="E123" s="1" t="s">
        <v>171</v>
      </c>
      <c r="F123">
        <f t="shared" si="3"/>
        <v>171</v>
      </c>
      <c r="G123">
        <v>11</v>
      </c>
      <c r="H123" t="s">
        <v>258</v>
      </c>
    </row>
    <row r="124" spans="1:8">
      <c r="A124">
        <v>123</v>
      </c>
      <c r="B124" t="s">
        <v>123</v>
      </c>
      <c r="C124" t="s">
        <v>523</v>
      </c>
      <c r="E124" s="1" t="s">
        <v>172</v>
      </c>
      <c r="F124">
        <f t="shared" si="3"/>
        <v>172</v>
      </c>
      <c r="G124">
        <v>170</v>
      </c>
      <c r="H124" t="s">
        <v>394</v>
      </c>
    </row>
    <row r="125" spans="1:8">
      <c r="A125">
        <v>124</v>
      </c>
      <c r="B125" t="s">
        <v>124</v>
      </c>
      <c r="C125" t="s">
        <v>524</v>
      </c>
      <c r="E125" s="1" t="s">
        <v>173</v>
      </c>
      <c r="F125">
        <f t="shared" si="3"/>
        <v>173</v>
      </c>
      <c r="G125">
        <v>12</v>
      </c>
      <c r="H125" t="s">
        <v>259</v>
      </c>
    </row>
    <row r="126" spans="1:8">
      <c r="A126">
        <v>125</v>
      </c>
      <c r="B126" t="s">
        <v>125</v>
      </c>
      <c r="C126" t="s">
        <v>525</v>
      </c>
      <c r="E126" s="1" t="s">
        <v>174</v>
      </c>
      <c r="F126">
        <f t="shared" si="3"/>
        <v>174</v>
      </c>
      <c r="G126">
        <v>13</v>
      </c>
      <c r="H126" t="s">
        <v>260</v>
      </c>
    </row>
    <row r="127" spans="1:8">
      <c r="A127">
        <v>126</v>
      </c>
      <c r="B127" t="s">
        <v>126</v>
      </c>
      <c r="C127" t="s">
        <v>526</v>
      </c>
      <c r="E127" s="1" t="s">
        <v>175</v>
      </c>
      <c r="F127">
        <f t="shared" si="3"/>
        <v>175</v>
      </c>
      <c r="G127">
        <v>22</v>
      </c>
      <c r="H127" t="s">
        <v>268</v>
      </c>
    </row>
    <row r="128" spans="1:8">
      <c r="A128">
        <v>127</v>
      </c>
      <c r="B128" t="s">
        <v>127</v>
      </c>
      <c r="C128" t="s">
        <v>527</v>
      </c>
      <c r="E128" s="1" t="s">
        <v>176</v>
      </c>
      <c r="F128">
        <f t="shared" si="3"/>
        <v>176</v>
      </c>
      <c r="G128">
        <v>166</v>
      </c>
      <c r="H128" t="s">
        <v>390</v>
      </c>
    </row>
    <row r="129" spans="1:8">
      <c r="A129">
        <v>128</v>
      </c>
      <c r="B129" t="s">
        <v>128</v>
      </c>
      <c r="C129" t="s">
        <v>528</v>
      </c>
      <c r="E129" s="1" t="s">
        <v>177</v>
      </c>
      <c r="F129">
        <f t="shared" si="3"/>
        <v>177</v>
      </c>
      <c r="G129">
        <v>23</v>
      </c>
      <c r="H129" t="s">
        <v>269</v>
      </c>
    </row>
    <row r="130" spans="1:8">
      <c r="A130">
        <v>129</v>
      </c>
      <c r="B130" t="s">
        <v>129</v>
      </c>
      <c r="C130" t="s">
        <v>529</v>
      </c>
      <c r="E130" s="1" t="s">
        <v>179</v>
      </c>
      <c r="F130">
        <f t="shared" ref="F130:F161" si="4">_xlfn.XLOOKUP(E130, B$2:B$231, A$2:A$231, 0)</f>
        <v>179</v>
      </c>
      <c r="G130">
        <v>45</v>
      </c>
      <c r="H130" t="s">
        <v>286</v>
      </c>
    </row>
    <row r="131" spans="1:8">
      <c r="A131">
        <v>130</v>
      </c>
      <c r="B131" t="s">
        <v>130</v>
      </c>
      <c r="C131" t="s">
        <v>530</v>
      </c>
      <c r="E131" s="1" t="s">
        <v>181</v>
      </c>
      <c r="F131">
        <f t="shared" si="4"/>
        <v>181</v>
      </c>
      <c r="G131">
        <v>48</v>
      </c>
      <c r="H131" t="s">
        <v>249</v>
      </c>
    </row>
    <row r="132" spans="1:8">
      <c r="A132">
        <v>131</v>
      </c>
      <c r="B132" t="s">
        <v>131</v>
      </c>
      <c r="C132" t="s">
        <v>531</v>
      </c>
      <c r="E132" s="1" t="s">
        <v>182</v>
      </c>
      <c r="F132">
        <f t="shared" si="4"/>
        <v>182</v>
      </c>
      <c r="G132">
        <v>49</v>
      </c>
      <c r="H132" t="s">
        <v>249</v>
      </c>
    </row>
    <row r="133" spans="1:8">
      <c r="A133">
        <v>132</v>
      </c>
      <c r="B133" t="s">
        <v>132</v>
      </c>
      <c r="C133" t="s">
        <v>532</v>
      </c>
      <c r="E133" s="1" t="s">
        <v>183</v>
      </c>
      <c r="F133">
        <f t="shared" si="4"/>
        <v>183</v>
      </c>
      <c r="G133">
        <v>50</v>
      </c>
      <c r="H133" t="s">
        <v>289</v>
      </c>
    </row>
    <row r="134" spans="1:8">
      <c r="A134">
        <v>133</v>
      </c>
      <c r="B134" t="s">
        <v>133</v>
      </c>
      <c r="C134" t="s">
        <v>533</v>
      </c>
      <c r="E134" s="1" t="s">
        <v>185</v>
      </c>
      <c r="F134">
        <f t="shared" si="4"/>
        <v>185</v>
      </c>
      <c r="G134">
        <v>51</v>
      </c>
      <c r="H134" t="s">
        <v>249</v>
      </c>
    </row>
    <row r="135" spans="1:8">
      <c r="A135">
        <v>134</v>
      </c>
      <c r="B135" t="s">
        <v>134</v>
      </c>
      <c r="C135" t="s">
        <v>534</v>
      </c>
      <c r="E135" s="1" t="s">
        <v>186</v>
      </c>
      <c r="F135">
        <f t="shared" si="4"/>
        <v>186</v>
      </c>
      <c r="G135">
        <v>174</v>
      </c>
      <c r="H135" t="s">
        <v>398</v>
      </c>
    </row>
    <row r="136" spans="1:8">
      <c r="A136">
        <v>135</v>
      </c>
      <c r="B136" t="s">
        <v>135</v>
      </c>
      <c r="C136" t="s">
        <v>535</v>
      </c>
      <c r="E136" s="1" t="s">
        <v>187</v>
      </c>
      <c r="F136">
        <f t="shared" si="4"/>
        <v>187</v>
      </c>
      <c r="G136">
        <v>52</v>
      </c>
      <c r="H136" t="s">
        <v>290</v>
      </c>
    </row>
    <row r="137" spans="1:8">
      <c r="A137">
        <v>136</v>
      </c>
      <c r="B137" t="s">
        <v>136</v>
      </c>
      <c r="C137" t="s">
        <v>536</v>
      </c>
      <c r="E137" s="1" t="s">
        <v>189</v>
      </c>
      <c r="F137">
        <f t="shared" si="4"/>
        <v>189</v>
      </c>
      <c r="G137">
        <v>64</v>
      </c>
      <c r="H137" t="s">
        <v>302</v>
      </c>
    </row>
    <row r="138" spans="1:8">
      <c r="A138">
        <v>137</v>
      </c>
      <c r="B138" t="s">
        <v>137</v>
      </c>
      <c r="C138" t="s">
        <v>537</v>
      </c>
      <c r="E138" s="1" t="s">
        <v>190</v>
      </c>
      <c r="F138">
        <f t="shared" si="4"/>
        <v>190</v>
      </c>
      <c r="G138">
        <v>65</v>
      </c>
      <c r="H138" t="s">
        <v>249</v>
      </c>
    </row>
    <row r="139" spans="1:8">
      <c r="A139">
        <v>138</v>
      </c>
      <c r="B139" t="s">
        <v>138</v>
      </c>
      <c r="C139" t="s">
        <v>538</v>
      </c>
      <c r="E139" s="1" t="s">
        <v>191</v>
      </c>
      <c r="F139">
        <f t="shared" si="4"/>
        <v>191</v>
      </c>
      <c r="G139">
        <v>70</v>
      </c>
      <c r="H139" t="s">
        <v>307</v>
      </c>
    </row>
    <row r="140" spans="1:8">
      <c r="A140">
        <v>139</v>
      </c>
      <c r="B140" t="s">
        <v>139</v>
      </c>
      <c r="C140" t="s">
        <v>539</v>
      </c>
      <c r="E140" s="1" t="s">
        <v>192</v>
      </c>
      <c r="F140">
        <f t="shared" si="4"/>
        <v>192</v>
      </c>
      <c r="G140">
        <v>110</v>
      </c>
      <c r="H140" t="s">
        <v>249</v>
      </c>
    </row>
    <row r="141" spans="1:8">
      <c r="A141">
        <v>140</v>
      </c>
      <c r="B141" t="s">
        <v>140</v>
      </c>
      <c r="C141" t="s">
        <v>540</v>
      </c>
      <c r="E141" s="1" t="s">
        <v>193</v>
      </c>
      <c r="F141">
        <f t="shared" si="4"/>
        <v>193</v>
      </c>
      <c r="G141">
        <v>139</v>
      </c>
      <c r="H141" t="s">
        <v>366</v>
      </c>
    </row>
    <row r="142" spans="1:8">
      <c r="A142">
        <v>141</v>
      </c>
      <c r="B142" t="s">
        <v>141</v>
      </c>
      <c r="C142" t="s">
        <v>541</v>
      </c>
      <c r="E142" s="1" t="s">
        <v>194</v>
      </c>
      <c r="F142">
        <f t="shared" si="4"/>
        <v>194</v>
      </c>
      <c r="G142">
        <v>140</v>
      </c>
      <c r="H142" t="s">
        <v>249</v>
      </c>
    </row>
    <row r="143" spans="1:8">
      <c r="A143">
        <v>142</v>
      </c>
      <c r="B143" t="s">
        <v>142</v>
      </c>
      <c r="C143" t="s">
        <v>542</v>
      </c>
      <c r="E143" s="1" t="s">
        <v>195</v>
      </c>
      <c r="F143">
        <f t="shared" si="4"/>
        <v>195</v>
      </c>
      <c r="G143">
        <v>3</v>
      </c>
      <c r="H143" t="s">
        <v>251</v>
      </c>
    </row>
    <row r="144" spans="1:8">
      <c r="A144">
        <v>143</v>
      </c>
      <c r="B144" t="s">
        <v>143</v>
      </c>
      <c r="C144" t="s">
        <v>543</v>
      </c>
      <c r="E144" s="1" t="s">
        <v>196</v>
      </c>
      <c r="F144">
        <f t="shared" si="4"/>
        <v>196</v>
      </c>
      <c r="G144">
        <v>27</v>
      </c>
      <c r="H144" t="s">
        <v>272</v>
      </c>
    </row>
    <row r="145" spans="1:8">
      <c r="A145">
        <v>144</v>
      </c>
      <c r="B145" t="s">
        <v>144</v>
      </c>
      <c r="C145" t="s">
        <v>544</v>
      </c>
      <c r="E145" s="1" t="s">
        <v>197</v>
      </c>
      <c r="F145">
        <f t="shared" si="4"/>
        <v>197</v>
      </c>
      <c r="G145">
        <v>61</v>
      </c>
      <c r="H145" t="s">
        <v>299</v>
      </c>
    </row>
    <row r="146" spans="1:8">
      <c r="A146">
        <v>145</v>
      </c>
      <c r="B146" t="s">
        <v>145</v>
      </c>
      <c r="C146" t="s">
        <v>545</v>
      </c>
      <c r="E146" s="1" t="s">
        <v>198</v>
      </c>
      <c r="F146">
        <f t="shared" si="4"/>
        <v>198</v>
      </c>
      <c r="G146">
        <v>63</v>
      </c>
      <c r="H146" t="s">
        <v>301</v>
      </c>
    </row>
    <row r="147" spans="1:8">
      <c r="A147">
        <v>146</v>
      </c>
      <c r="B147" t="s">
        <v>146</v>
      </c>
      <c r="C147" t="s">
        <v>546</v>
      </c>
      <c r="E147" s="1" t="s">
        <v>199</v>
      </c>
      <c r="F147">
        <f t="shared" si="4"/>
        <v>199</v>
      </c>
      <c r="G147">
        <v>68</v>
      </c>
      <c r="H147" t="s">
        <v>305</v>
      </c>
    </row>
    <row r="148" spans="1:8">
      <c r="A148">
        <v>147</v>
      </c>
      <c r="B148" t="s">
        <v>147</v>
      </c>
      <c r="C148" t="s">
        <v>547</v>
      </c>
      <c r="E148" s="1" t="s">
        <v>201</v>
      </c>
      <c r="F148">
        <f t="shared" si="4"/>
        <v>201</v>
      </c>
      <c r="G148">
        <v>104</v>
      </c>
      <c r="H148" t="s">
        <v>335</v>
      </c>
    </row>
    <row r="149" spans="1:8">
      <c r="A149">
        <v>148</v>
      </c>
      <c r="B149" t="s">
        <v>148</v>
      </c>
      <c r="C149" t="s">
        <v>548</v>
      </c>
      <c r="E149" s="1" t="s">
        <v>203</v>
      </c>
      <c r="F149">
        <f t="shared" si="4"/>
        <v>203</v>
      </c>
      <c r="G149">
        <v>105</v>
      </c>
      <c r="H149" t="s">
        <v>336</v>
      </c>
    </row>
    <row r="150" spans="1:8">
      <c r="A150">
        <v>149</v>
      </c>
      <c r="B150" t="s">
        <v>149</v>
      </c>
      <c r="C150" t="s">
        <v>549</v>
      </c>
      <c r="E150" s="1" t="s">
        <v>204</v>
      </c>
      <c r="F150">
        <f t="shared" si="4"/>
        <v>204</v>
      </c>
      <c r="G150">
        <v>117</v>
      </c>
      <c r="H150" t="s">
        <v>347</v>
      </c>
    </row>
    <row r="151" spans="1:8">
      <c r="A151">
        <v>150</v>
      </c>
      <c r="B151" t="s">
        <v>150</v>
      </c>
      <c r="C151" t="s">
        <v>550</v>
      </c>
      <c r="E151" s="1" t="s">
        <v>205</v>
      </c>
      <c r="F151">
        <f t="shared" si="4"/>
        <v>205</v>
      </c>
      <c r="G151">
        <v>120</v>
      </c>
      <c r="H151" t="s">
        <v>350</v>
      </c>
    </row>
    <row r="152" spans="1:8">
      <c r="A152">
        <v>151</v>
      </c>
      <c r="B152" t="s">
        <v>151</v>
      </c>
      <c r="C152" t="s">
        <v>551</v>
      </c>
      <c r="E152" s="1" t="s">
        <v>206</v>
      </c>
      <c r="F152">
        <f t="shared" si="4"/>
        <v>206</v>
      </c>
      <c r="G152">
        <v>124</v>
      </c>
      <c r="H152" t="s">
        <v>353</v>
      </c>
    </row>
    <row r="153" spans="1:8">
      <c r="A153">
        <v>152</v>
      </c>
      <c r="B153" t="s">
        <v>152</v>
      </c>
      <c r="C153" t="s">
        <v>552</v>
      </c>
      <c r="E153" s="1" t="s">
        <v>209</v>
      </c>
      <c r="F153">
        <f t="shared" si="4"/>
        <v>209</v>
      </c>
      <c r="G153">
        <v>141</v>
      </c>
      <c r="H153" t="s">
        <v>367</v>
      </c>
    </row>
    <row r="154" spans="1:8">
      <c r="A154">
        <v>153</v>
      </c>
      <c r="B154" t="s">
        <v>153</v>
      </c>
      <c r="C154" t="s">
        <v>553</v>
      </c>
      <c r="E154" s="1" t="s">
        <v>210</v>
      </c>
      <c r="F154">
        <f t="shared" si="4"/>
        <v>210</v>
      </c>
      <c r="G154">
        <v>142</v>
      </c>
      <c r="H154" t="s">
        <v>368</v>
      </c>
    </row>
    <row r="155" spans="1:8">
      <c r="A155">
        <v>154</v>
      </c>
      <c r="B155" t="s">
        <v>154</v>
      </c>
      <c r="C155" t="s">
        <v>554</v>
      </c>
      <c r="E155" s="1" t="s">
        <v>211</v>
      </c>
      <c r="F155">
        <f t="shared" si="4"/>
        <v>211</v>
      </c>
      <c r="G155">
        <v>143</v>
      </c>
      <c r="H155" t="s">
        <v>369</v>
      </c>
    </row>
    <row r="156" spans="1:8">
      <c r="A156">
        <v>155</v>
      </c>
      <c r="B156" t="s">
        <v>155</v>
      </c>
      <c r="C156" t="s">
        <v>555</v>
      </c>
      <c r="E156" s="1" t="s">
        <v>212</v>
      </c>
      <c r="F156">
        <f t="shared" si="4"/>
        <v>212</v>
      </c>
      <c r="G156">
        <v>144</v>
      </c>
      <c r="H156" t="s">
        <v>370</v>
      </c>
    </row>
    <row r="157" spans="1:8">
      <c r="A157">
        <v>156</v>
      </c>
      <c r="B157" t="s">
        <v>156</v>
      </c>
      <c r="C157" t="s">
        <v>556</v>
      </c>
      <c r="E157" s="1" t="s">
        <v>214</v>
      </c>
      <c r="F157">
        <f t="shared" si="4"/>
        <v>214</v>
      </c>
      <c r="G157">
        <v>145</v>
      </c>
      <c r="H157" t="s">
        <v>371</v>
      </c>
    </row>
    <row r="158" spans="1:8">
      <c r="A158">
        <v>157</v>
      </c>
      <c r="B158" t="s">
        <v>157</v>
      </c>
      <c r="C158" t="s">
        <v>557</v>
      </c>
      <c r="E158" s="1" t="s">
        <v>215</v>
      </c>
      <c r="F158">
        <f t="shared" si="4"/>
        <v>215</v>
      </c>
      <c r="G158">
        <v>146</v>
      </c>
      <c r="H158" t="s">
        <v>372</v>
      </c>
    </row>
    <row r="159" spans="1:8">
      <c r="A159">
        <v>158</v>
      </c>
      <c r="B159" t="s">
        <v>158</v>
      </c>
      <c r="C159" t="s">
        <v>558</v>
      </c>
      <c r="E159" s="1" t="s">
        <v>220</v>
      </c>
      <c r="F159">
        <f t="shared" si="4"/>
        <v>220</v>
      </c>
      <c r="G159">
        <v>53</v>
      </c>
      <c r="H159" t="s">
        <v>291</v>
      </c>
    </row>
    <row r="160" spans="1:8">
      <c r="A160">
        <v>159</v>
      </c>
      <c r="B160" t="s">
        <v>159</v>
      </c>
      <c r="C160" t="s">
        <v>559</v>
      </c>
      <c r="E160" s="1" t="s">
        <v>221</v>
      </c>
      <c r="F160">
        <f t="shared" si="4"/>
        <v>221</v>
      </c>
      <c r="G160">
        <v>54</v>
      </c>
      <c r="H160" t="s">
        <v>292</v>
      </c>
    </row>
    <row r="161" spans="1:8">
      <c r="A161">
        <v>160</v>
      </c>
      <c r="B161" t="s">
        <v>160</v>
      </c>
      <c r="C161" t="s">
        <v>560</v>
      </c>
      <c r="E161" s="1" t="s">
        <v>222</v>
      </c>
      <c r="F161">
        <f t="shared" si="4"/>
        <v>222</v>
      </c>
      <c r="G161">
        <v>55</v>
      </c>
      <c r="H161" t="s">
        <v>293</v>
      </c>
    </row>
    <row r="162" spans="1:8">
      <c r="A162">
        <v>161</v>
      </c>
      <c r="B162" t="s">
        <v>161</v>
      </c>
      <c r="C162" t="s">
        <v>561</v>
      </c>
      <c r="E162" s="1" t="s">
        <v>224</v>
      </c>
      <c r="F162">
        <f t="shared" ref="F162:F193" si="5">_xlfn.XLOOKUP(E162, B$2:B$231, A$2:A$231, 0)</f>
        <v>224</v>
      </c>
      <c r="G162">
        <v>57</v>
      </c>
      <c r="H162" t="s">
        <v>295</v>
      </c>
    </row>
    <row r="163" spans="1:8">
      <c r="A163">
        <v>162</v>
      </c>
      <c r="B163" t="s">
        <v>162</v>
      </c>
      <c r="C163" t="s">
        <v>562</v>
      </c>
      <c r="E163" s="1" t="s">
        <v>225</v>
      </c>
      <c r="F163">
        <f t="shared" si="5"/>
        <v>225</v>
      </c>
      <c r="G163">
        <v>58</v>
      </c>
      <c r="H163" t="s">
        <v>296</v>
      </c>
    </row>
    <row r="164" spans="1:8">
      <c r="A164">
        <v>163</v>
      </c>
      <c r="B164" t="s">
        <v>163</v>
      </c>
      <c r="C164" t="s">
        <v>563</v>
      </c>
      <c r="E164" s="1" t="s">
        <v>226</v>
      </c>
      <c r="F164">
        <f t="shared" si="5"/>
        <v>226</v>
      </c>
      <c r="G164">
        <v>59</v>
      </c>
      <c r="H164" t="s">
        <v>297</v>
      </c>
    </row>
    <row r="165" spans="1:8">
      <c r="A165">
        <v>164</v>
      </c>
      <c r="B165" t="s">
        <v>164</v>
      </c>
      <c r="C165" t="s">
        <v>564</v>
      </c>
      <c r="E165" s="1" t="s">
        <v>227</v>
      </c>
      <c r="F165">
        <f t="shared" si="5"/>
        <v>227</v>
      </c>
      <c r="G165">
        <v>62</v>
      </c>
      <c r="H165" t="s">
        <v>300</v>
      </c>
    </row>
    <row r="166" spans="1:8">
      <c r="A166">
        <v>165</v>
      </c>
      <c r="B166" t="s">
        <v>165</v>
      </c>
      <c r="C166" t="s">
        <v>565</v>
      </c>
      <c r="E166" s="1" t="s">
        <v>229</v>
      </c>
      <c r="F166">
        <f t="shared" si="5"/>
        <v>229</v>
      </c>
      <c r="G166">
        <v>66</v>
      </c>
      <c r="H166" t="s">
        <v>303</v>
      </c>
    </row>
    <row r="167" spans="1:8">
      <c r="A167">
        <v>166</v>
      </c>
      <c r="B167" t="s">
        <v>166</v>
      </c>
      <c r="C167" t="s">
        <v>566</v>
      </c>
      <c r="E167" s="1" t="s">
        <v>230</v>
      </c>
      <c r="F167">
        <f t="shared" si="5"/>
        <v>230</v>
      </c>
      <c r="G167">
        <v>106</v>
      </c>
      <c r="H167" t="s">
        <v>337</v>
      </c>
    </row>
    <row r="168" spans="1:8">
      <c r="A168">
        <v>167</v>
      </c>
      <c r="B168" t="s">
        <v>167</v>
      </c>
      <c r="C168" t="s">
        <v>567</v>
      </c>
      <c r="E168" s="1" t="s">
        <v>232</v>
      </c>
      <c r="F168">
        <v>231</v>
      </c>
      <c r="G168">
        <v>16</v>
      </c>
      <c r="H168" t="s">
        <v>249</v>
      </c>
    </row>
    <row r="169" spans="1:8">
      <c r="A169">
        <v>168</v>
      </c>
      <c r="B169" t="s">
        <v>168</v>
      </c>
      <c r="C169" t="s">
        <v>568</v>
      </c>
      <c r="E169" t="s">
        <v>234</v>
      </c>
      <c r="F169">
        <v>232</v>
      </c>
      <c r="G169">
        <v>44</v>
      </c>
      <c r="H169" t="s">
        <v>285</v>
      </c>
    </row>
    <row r="170" spans="1:8">
      <c r="A170">
        <v>169</v>
      </c>
      <c r="B170" t="s">
        <v>169</v>
      </c>
      <c r="C170" t="s">
        <v>569</v>
      </c>
      <c r="E170" t="s">
        <v>235</v>
      </c>
      <c r="F170">
        <v>233</v>
      </c>
      <c r="G170">
        <v>56</v>
      </c>
      <c r="H170" t="s">
        <v>294</v>
      </c>
    </row>
    <row r="171" spans="1:8">
      <c r="A171">
        <v>170</v>
      </c>
      <c r="B171" t="s">
        <v>170</v>
      </c>
      <c r="C171" t="s">
        <v>570</v>
      </c>
      <c r="E171" t="s">
        <v>236</v>
      </c>
      <c r="F171">
        <v>234</v>
      </c>
      <c r="G171">
        <v>60</v>
      </c>
      <c r="H171" t="s">
        <v>298</v>
      </c>
    </row>
    <row r="172" spans="1:8">
      <c r="A172">
        <v>171</v>
      </c>
      <c r="B172" t="s">
        <v>171</v>
      </c>
      <c r="C172" t="s">
        <v>571</v>
      </c>
      <c r="E172" t="s">
        <v>237</v>
      </c>
      <c r="F172">
        <v>235</v>
      </c>
      <c r="G172">
        <v>67</v>
      </c>
      <c r="H172" t="s">
        <v>304</v>
      </c>
    </row>
    <row r="173" spans="1:8">
      <c r="A173">
        <v>172</v>
      </c>
      <c r="B173" t="s">
        <v>172</v>
      </c>
      <c r="C173" t="s">
        <v>572</v>
      </c>
      <c r="E173" t="s">
        <v>238</v>
      </c>
      <c r="F173">
        <v>236</v>
      </c>
      <c r="G173">
        <v>73</v>
      </c>
      <c r="H173" t="s">
        <v>310</v>
      </c>
    </row>
    <row r="174" spans="1:8">
      <c r="A174">
        <v>173</v>
      </c>
      <c r="B174" t="s">
        <v>173</v>
      </c>
      <c r="C174" t="s">
        <v>573</v>
      </c>
      <c r="E174" t="s">
        <v>239</v>
      </c>
      <c r="F174">
        <v>237</v>
      </c>
      <c r="G174">
        <v>78</v>
      </c>
      <c r="H174" t="s">
        <v>314</v>
      </c>
    </row>
    <row r="175" spans="1:8">
      <c r="A175">
        <v>174</v>
      </c>
      <c r="B175" t="s">
        <v>174</v>
      </c>
      <c r="C175" t="s">
        <v>574</v>
      </c>
      <c r="E175" t="s">
        <v>240</v>
      </c>
      <c r="F175">
        <v>238</v>
      </c>
      <c r="G175">
        <v>122</v>
      </c>
      <c r="H175" t="s">
        <v>287</v>
      </c>
    </row>
    <row r="176" spans="1:8">
      <c r="A176">
        <v>175</v>
      </c>
      <c r="B176" t="s">
        <v>175</v>
      </c>
      <c r="C176" t="s">
        <v>575</v>
      </c>
      <c r="E176" t="s">
        <v>241</v>
      </c>
      <c r="F176">
        <v>239</v>
      </c>
      <c r="G176">
        <v>159</v>
      </c>
      <c r="H176" t="s">
        <v>383</v>
      </c>
    </row>
    <row r="177" spans="1:8">
      <c r="A177">
        <v>176</v>
      </c>
      <c r="B177" t="s">
        <v>176</v>
      </c>
      <c r="C177" t="s">
        <v>576</v>
      </c>
      <c r="E177" t="s">
        <v>242</v>
      </c>
      <c r="F177">
        <v>240</v>
      </c>
      <c r="G177">
        <v>169</v>
      </c>
      <c r="H177" t="s">
        <v>393</v>
      </c>
    </row>
    <row r="178" spans="1:8">
      <c r="A178">
        <v>177</v>
      </c>
      <c r="B178" t="s">
        <v>177</v>
      </c>
      <c r="C178" t="s">
        <v>577</v>
      </c>
    </row>
    <row r="179" spans="1:8">
      <c r="A179">
        <v>178</v>
      </c>
      <c r="B179" t="s">
        <v>178</v>
      </c>
      <c r="C179" t="s">
        <v>578</v>
      </c>
    </row>
    <row r="180" spans="1:8">
      <c r="A180">
        <v>179</v>
      </c>
      <c r="B180" t="s">
        <v>179</v>
      </c>
      <c r="C180" t="s">
        <v>579</v>
      </c>
    </row>
    <row r="181" spans="1:8">
      <c r="A181">
        <v>180</v>
      </c>
      <c r="B181" t="s">
        <v>180</v>
      </c>
      <c r="C181" t="s">
        <v>580</v>
      </c>
    </row>
    <row r="182" spans="1:8">
      <c r="A182">
        <v>181</v>
      </c>
      <c r="B182" t="s">
        <v>181</v>
      </c>
      <c r="C182" t="s">
        <v>581</v>
      </c>
    </row>
    <row r="183" spans="1:8">
      <c r="A183">
        <v>182</v>
      </c>
      <c r="B183" t="s">
        <v>182</v>
      </c>
      <c r="C183" t="s">
        <v>582</v>
      </c>
    </row>
    <row r="184" spans="1:8">
      <c r="A184">
        <v>183</v>
      </c>
      <c r="B184" t="s">
        <v>183</v>
      </c>
      <c r="C184" t="s">
        <v>583</v>
      </c>
    </row>
    <row r="185" spans="1:8">
      <c r="A185">
        <v>184</v>
      </c>
      <c r="B185" t="s">
        <v>184</v>
      </c>
      <c r="C185" t="s">
        <v>584</v>
      </c>
    </row>
    <row r="186" spans="1:8">
      <c r="A186">
        <v>185</v>
      </c>
      <c r="B186" t="s">
        <v>185</v>
      </c>
      <c r="C186" t="s">
        <v>585</v>
      </c>
    </row>
    <row r="187" spans="1:8">
      <c r="A187">
        <v>186</v>
      </c>
      <c r="B187" t="s">
        <v>186</v>
      </c>
      <c r="C187" t="s">
        <v>586</v>
      </c>
    </row>
    <row r="188" spans="1:8">
      <c r="A188">
        <v>187</v>
      </c>
      <c r="B188" t="s">
        <v>187</v>
      </c>
      <c r="C188" t="s">
        <v>587</v>
      </c>
    </row>
    <row r="189" spans="1:8">
      <c r="A189">
        <v>188</v>
      </c>
      <c r="B189" t="s">
        <v>188</v>
      </c>
      <c r="C189" t="s">
        <v>588</v>
      </c>
    </row>
    <row r="190" spans="1:8">
      <c r="A190">
        <v>189</v>
      </c>
      <c r="B190" t="s">
        <v>189</v>
      </c>
      <c r="C190" t="s">
        <v>589</v>
      </c>
    </row>
    <row r="191" spans="1:8">
      <c r="A191">
        <v>190</v>
      </c>
      <c r="B191" t="s">
        <v>190</v>
      </c>
      <c r="C191" t="s">
        <v>590</v>
      </c>
    </row>
    <row r="192" spans="1:8">
      <c r="A192">
        <v>191</v>
      </c>
      <c r="B192" t="s">
        <v>191</v>
      </c>
      <c r="C192" t="s">
        <v>591</v>
      </c>
    </row>
    <row r="193" spans="1:3">
      <c r="A193">
        <v>192</v>
      </c>
      <c r="B193" t="s">
        <v>192</v>
      </c>
      <c r="C193" t="s">
        <v>592</v>
      </c>
    </row>
    <row r="194" spans="1:3">
      <c r="A194">
        <v>193</v>
      </c>
      <c r="B194" t="s">
        <v>193</v>
      </c>
      <c r="C194" t="s">
        <v>593</v>
      </c>
    </row>
    <row r="195" spans="1:3">
      <c r="A195">
        <v>194</v>
      </c>
      <c r="B195" t="s">
        <v>194</v>
      </c>
      <c r="C195" t="s">
        <v>594</v>
      </c>
    </row>
    <row r="196" spans="1:3">
      <c r="A196">
        <v>195</v>
      </c>
      <c r="B196" t="s">
        <v>195</v>
      </c>
      <c r="C196" t="s">
        <v>595</v>
      </c>
    </row>
    <row r="197" spans="1:3">
      <c r="A197">
        <v>196</v>
      </c>
      <c r="B197" t="s">
        <v>196</v>
      </c>
      <c r="C197" t="s">
        <v>596</v>
      </c>
    </row>
    <row r="198" spans="1:3">
      <c r="A198">
        <v>197</v>
      </c>
      <c r="B198" t="s">
        <v>197</v>
      </c>
      <c r="C198" t="s">
        <v>597</v>
      </c>
    </row>
    <row r="199" spans="1:3">
      <c r="A199">
        <v>198</v>
      </c>
      <c r="B199" t="s">
        <v>198</v>
      </c>
      <c r="C199" t="s">
        <v>598</v>
      </c>
    </row>
    <row r="200" spans="1:3">
      <c r="A200">
        <v>199</v>
      </c>
      <c r="B200" t="s">
        <v>199</v>
      </c>
      <c r="C200" t="s">
        <v>599</v>
      </c>
    </row>
    <row r="201" spans="1:3">
      <c r="A201">
        <v>200</v>
      </c>
      <c r="B201" t="s">
        <v>200</v>
      </c>
      <c r="C201" t="s">
        <v>600</v>
      </c>
    </row>
    <row r="202" spans="1:3">
      <c r="A202">
        <v>201</v>
      </c>
      <c r="B202" t="s">
        <v>201</v>
      </c>
      <c r="C202" t="s">
        <v>601</v>
      </c>
    </row>
    <row r="203" spans="1:3">
      <c r="A203">
        <v>202</v>
      </c>
      <c r="B203" t="s">
        <v>202</v>
      </c>
      <c r="C203" t="s">
        <v>602</v>
      </c>
    </row>
    <row r="204" spans="1:3">
      <c r="A204">
        <v>203</v>
      </c>
      <c r="B204" t="s">
        <v>203</v>
      </c>
      <c r="C204" t="s">
        <v>603</v>
      </c>
    </row>
    <row r="205" spans="1:3">
      <c r="A205">
        <v>204</v>
      </c>
      <c r="B205" t="s">
        <v>204</v>
      </c>
      <c r="C205" t="s">
        <v>604</v>
      </c>
    </row>
    <row r="206" spans="1:3">
      <c r="A206">
        <v>205</v>
      </c>
      <c r="B206" t="s">
        <v>205</v>
      </c>
      <c r="C206" t="s">
        <v>600</v>
      </c>
    </row>
    <row r="207" spans="1:3">
      <c r="A207">
        <v>206</v>
      </c>
      <c r="B207" t="s">
        <v>206</v>
      </c>
      <c r="C207" t="s">
        <v>605</v>
      </c>
    </row>
    <row r="208" spans="1:3">
      <c r="A208">
        <v>207</v>
      </c>
      <c r="B208" t="s">
        <v>207</v>
      </c>
      <c r="C208" t="s">
        <v>606</v>
      </c>
    </row>
    <row r="209" spans="1:3">
      <c r="A209">
        <v>208</v>
      </c>
      <c r="B209" t="s">
        <v>208</v>
      </c>
      <c r="C209" t="s">
        <v>607</v>
      </c>
    </row>
    <row r="210" spans="1:3">
      <c r="A210">
        <v>209</v>
      </c>
      <c r="B210" t="s">
        <v>209</v>
      </c>
      <c r="C210" t="s">
        <v>608</v>
      </c>
    </row>
    <row r="211" spans="1:3">
      <c r="A211">
        <v>210</v>
      </c>
      <c r="B211" t="s">
        <v>210</v>
      </c>
      <c r="C211" t="s">
        <v>609</v>
      </c>
    </row>
    <row r="212" spans="1:3">
      <c r="A212">
        <v>211</v>
      </c>
      <c r="B212" t="s">
        <v>211</v>
      </c>
      <c r="C212" t="s">
        <v>610</v>
      </c>
    </row>
    <row r="213" spans="1:3">
      <c r="A213">
        <v>212</v>
      </c>
      <c r="B213" t="s">
        <v>212</v>
      </c>
      <c r="C213" t="s">
        <v>611</v>
      </c>
    </row>
    <row r="214" spans="1:3">
      <c r="A214">
        <v>213</v>
      </c>
      <c r="B214" t="s">
        <v>213</v>
      </c>
      <c r="C214" t="s">
        <v>612</v>
      </c>
    </row>
    <row r="215" spans="1:3">
      <c r="A215">
        <v>214</v>
      </c>
      <c r="B215" t="s">
        <v>214</v>
      </c>
      <c r="C215" t="s">
        <v>613</v>
      </c>
    </row>
    <row r="216" spans="1:3">
      <c r="A216">
        <v>215</v>
      </c>
      <c r="B216" t="s">
        <v>215</v>
      </c>
      <c r="C216" t="s">
        <v>614</v>
      </c>
    </row>
    <row r="217" spans="1:3">
      <c r="A217">
        <v>216</v>
      </c>
      <c r="B217" t="s">
        <v>216</v>
      </c>
      <c r="C217" t="s">
        <v>615</v>
      </c>
    </row>
    <row r="218" spans="1:3">
      <c r="A218">
        <v>217</v>
      </c>
      <c r="B218" t="s">
        <v>217</v>
      </c>
      <c r="C218" t="s">
        <v>616</v>
      </c>
    </row>
    <row r="219" spans="1:3">
      <c r="A219">
        <v>218</v>
      </c>
      <c r="B219" t="s">
        <v>218</v>
      </c>
      <c r="C219" t="s">
        <v>617</v>
      </c>
    </row>
    <row r="220" spans="1:3">
      <c r="A220">
        <v>219</v>
      </c>
      <c r="B220" t="s">
        <v>219</v>
      </c>
      <c r="C220" t="s">
        <v>618</v>
      </c>
    </row>
    <row r="221" spans="1:3">
      <c r="A221">
        <v>220</v>
      </c>
      <c r="B221" t="s">
        <v>220</v>
      </c>
      <c r="C221" t="s">
        <v>619</v>
      </c>
    </row>
    <row r="222" spans="1:3">
      <c r="A222">
        <v>221</v>
      </c>
      <c r="B222" t="s">
        <v>221</v>
      </c>
      <c r="C222" t="s">
        <v>620</v>
      </c>
    </row>
    <row r="223" spans="1:3">
      <c r="A223">
        <v>222</v>
      </c>
      <c r="B223" t="s">
        <v>222</v>
      </c>
      <c r="C223" t="s">
        <v>621</v>
      </c>
    </row>
    <row r="224" spans="1:3">
      <c r="A224">
        <v>223</v>
      </c>
      <c r="B224" t="s">
        <v>223</v>
      </c>
      <c r="C224" t="s">
        <v>622</v>
      </c>
    </row>
    <row r="225" spans="1:3">
      <c r="A225">
        <v>224</v>
      </c>
      <c r="B225" t="s">
        <v>224</v>
      </c>
      <c r="C225" t="s">
        <v>623</v>
      </c>
    </row>
    <row r="226" spans="1:3">
      <c r="A226">
        <v>225</v>
      </c>
      <c r="B226" t="s">
        <v>225</v>
      </c>
      <c r="C226" t="s">
        <v>624</v>
      </c>
    </row>
    <row r="227" spans="1:3">
      <c r="A227">
        <v>226</v>
      </c>
      <c r="B227" t="s">
        <v>226</v>
      </c>
      <c r="C227" t="s">
        <v>625</v>
      </c>
    </row>
    <row r="228" spans="1:3">
      <c r="A228">
        <v>227</v>
      </c>
      <c r="B228" t="s">
        <v>227</v>
      </c>
      <c r="C228" t="s">
        <v>626</v>
      </c>
    </row>
    <row r="229" spans="1:3">
      <c r="A229">
        <v>228</v>
      </c>
      <c r="B229" t="s">
        <v>228</v>
      </c>
      <c r="C229" t="s">
        <v>627</v>
      </c>
    </row>
    <row r="230" spans="1:3">
      <c r="A230">
        <v>229</v>
      </c>
      <c r="B230" t="s">
        <v>229</v>
      </c>
      <c r="C230" t="s">
        <v>628</v>
      </c>
    </row>
    <row r="231" spans="1:3">
      <c r="A231">
        <v>230</v>
      </c>
      <c r="B231" t="s">
        <v>230</v>
      </c>
      <c r="C231" t="s">
        <v>629</v>
      </c>
    </row>
  </sheetData>
  <autoFilter ref="E1:H177" xr:uid="{00000000-0001-0000-0000-000000000000}">
    <sortState xmlns:xlrd2="http://schemas.microsoft.com/office/spreadsheetml/2017/richdata2" ref="E2:H177">
      <sortCondition ref="F1:F177"/>
    </sortState>
  </autoFilter>
  <phoneticPr fontId="5"/>
  <conditionalFormatting sqref="E172">
    <cfRule type="containsText" dxfId="0" priority="1" operator="containsText" text="渡辺">
      <formula>NOT(ISERROR(SEARCH("渡辺",E172)))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すべてのnameとidリスト</vt:lpstr>
      <vt:lpstr>idつけ作業用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2026-05-28T01:39:06Z</dcterms:modified>
</cp:coreProperties>
</file>